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0" yWindow="0" windowWidth="21570" windowHeight="8055" firstSheet="3" activeTab="3"/>
  </bookViews>
  <sheets>
    <sheet name="Hoja1" sheetId="1" state="hidden" r:id="rId1"/>
    <sheet name="Hoja2" sheetId="2" state="hidden" r:id="rId2"/>
    <sheet name="Hoja3" sheetId="3" state="hidden" r:id="rId3"/>
    <sheet name="Hoja4" sheetId="4" r:id="rId4"/>
  </sheets>
  <functionGroups builtInGroupCount="17"/>
  <definedNames>
    <definedName name="_xlnm.Print_Area" localSheetId="3">Hoja4!$B$3:$FJ$69</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7" i="4" l="1"/>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6" i="4" l="1"/>
  <c r="J3" i="4"/>
  <c r="K3" i="4" s="1"/>
  <c r="L3" i="4" s="1"/>
  <c r="M3" i="4" s="1"/>
  <c r="N3" i="4" s="1"/>
  <c r="O3" i="4" s="1"/>
  <c r="P3" i="4" s="1"/>
  <c r="Q3" i="4" s="1"/>
  <c r="R3" i="4" s="1"/>
  <c r="S3" i="4" s="1"/>
  <c r="T3" i="4" s="1"/>
  <c r="U3" i="4" s="1"/>
  <c r="V3" i="4" s="1"/>
  <c r="W3" i="4" s="1"/>
  <c r="X3" i="4" s="1"/>
  <c r="Y3" i="4" s="1"/>
  <c r="Z3" i="4" s="1"/>
  <c r="AA3" i="4" s="1"/>
  <c r="AB3" i="4" s="1"/>
  <c r="AC3" i="4" s="1"/>
  <c r="AD3" i="4" s="1"/>
  <c r="AE3" i="4" s="1"/>
  <c r="AF3" i="4" s="1"/>
  <c r="AG3" i="4" s="1"/>
  <c r="AH3" i="4" s="1"/>
  <c r="AI3" i="4" s="1"/>
  <c r="AJ3" i="4" s="1"/>
  <c r="AK3" i="4" s="1"/>
  <c r="AL3" i="4" s="1"/>
  <c r="AM3" i="4" s="1"/>
  <c r="AN3" i="4" s="1"/>
  <c r="AO3" i="4" s="1"/>
  <c r="AP3" i="4" s="1"/>
  <c r="AQ3" i="4" s="1"/>
  <c r="AR3" i="4" s="1"/>
  <c r="AS3" i="4" s="1"/>
  <c r="AT3" i="4" s="1"/>
  <c r="AU3" i="4" s="1"/>
  <c r="AV3" i="4" s="1"/>
  <c r="AW3" i="4" s="1"/>
  <c r="AX3" i="4" s="1"/>
  <c r="AY3" i="4" s="1"/>
  <c r="AZ3" i="4" s="1"/>
  <c r="BA3" i="4" s="1"/>
  <c r="BB3" i="4" s="1"/>
  <c r="BC3" i="4" s="1"/>
  <c r="BD3" i="4" s="1"/>
  <c r="BE3" i="4" s="1"/>
  <c r="BF3" i="4" s="1"/>
  <c r="BG3" i="4" s="1"/>
  <c r="BH3" i="4" s="1"/>
  <c r="BI3" i="4" s="1"/>
  <c r="BJ3" i="4" s="1"/>
  <c r="BK3" i="4" s="1"/>
  <c r="BL3" i="4" s="1"/>
  <c r="BM3" i="4" s="1"/>
  <c r="BN3" i="4" s="1"/>
  <c r="BO3" i="4" l="1"/>
  <c r="BP3" i="4" s="1"/>
  <c r="BQ3" i="4" s="1"/>
  <c r="BR3" i="4" s="1"/>
  <c r="BS3" i="4" s="1"/>
  <c r="BT3" i="4" s="1"/>
  <c r="BU3" i="4" s="1"/>
  <c r="BV3" i="4" s="1"/>
  <c r="BW3" i="4" s="1"/>
  <c r="BX3" i="4" s="1"/>
  <c r="BY3" i="4" s="1"/>
  <c r="BZ3" i="4" s="1"/>
  <c r="CA3" i="4" s="1"/>
  <c r="CB3" i="4" s="1"/>
  <c r="CC3" i="4" s="1"/>
  <c r="CD3" i="4" s="1"/>
  <c r="CE3" i="4" s="1"/>
  <c r="CF3" i="4" s="1"/>
  <c r="CG3" i="4" s="1"/>
  <c r="CH3" i="4" s="1"/>
  <c r="CI3" i="4" s="1"/>
  <c r="CJ3" i="4" s="1"/>
  <c r="CK3" i="4" s="1"/>
  <c r="CL3" i="4" s="1"/>
  <c r="CM3" i="4" s="1"/>
  <c r="CN3" i="4" s="1"/>
  <c r="CO3" i="4" s="1"/>
  <c r="CP3" i="4" s="1"/>
  <c r="CQ3" i="4" s="1"/>
  <c r="CR3" i="4" s="1"/>
  <c r="CS3" i="4" s="1"/>
  <c r="CT3" i="4" s="1"/>
  <c r="CU3" i="4" s="1"/>
  <c r="CV3" i="4" s="1"/>
  <c r="CW3" i="4" s="1"/>
  <c r="CX3" i="4" s="1"/>
  <c r="CY3" i="4" s="1"/>
  <c r="CZ3" i="4" s="1"/>
  <c r="DA3" i="4" s="1"/>
  <c r="DB3" i="4" s="1"/>
  <c r="DC3" i="4" s="1"/>
  <c r="DD3" i="4" s="1"/>
  <c r="DE3" i="4" s="1"/>
  <c r="DF3" i="4" s="1"/>
  <c r="DG3" i="4" s="1"/>
  <c r="DH3" i="4" s="1"/>
  <c r="DI3" i="4" s="1"/>
  <c r="DJ3" i="4" s="1"/>
  <c r="DK3" i="4" s="1"/>
  <c r="DL3" i="4" s="1"/>
  <c r="DM3" i="4" s="1"/>
  <c r="DN3" i="4" s="1"/>
  <c r="DO3" i="4" s="1"/>
  <c r="DP3" i="4" s="1"/>
  <c r="DQ3" i="4" s="1"/>
  <c r="DR3" i="4" s="1"/>
  <c r="DS3" i="4" s="1"/>
  <c r="DT3" i="4" s="1"/>
  <c r="DU3" i="4" s="1"/>
  <c r="DV3" i="4" s="1"/>
  <c r="DW3" i="4" s="1"/>
  <c r="DX3" i="4" s="1"/>
  <c r="DY3" i="4" s="1"/>
  <c r="DZ3" i="4" s="1"/>
  <c r="EA3" i="4" s="1"/>
  <c r="EB3" i="4" s="1"/>
  <c r="EC3" i="4" s="1"/>
  <c r="ED3" i="4" s="1"/>
  <c r="EE3" i="4" s="1"/>
  <c r="EF3" i="4" s="1"/>
  <c r="EG3" i="4" s="1"/>
  <c r="EH3" i="4" s="1"/>
  <c r="EI3" i="4" s="1"/>
  <c r="EJ3" i="4" s="1"/>
  <c r="EK3" i="4" s="1"/>
  <c r="EL3" i="4" s="1"/>
  <c r="EM3" i="4" s="1"/>
  <c r="EN3" i="4" s="1"/>
  <c r="EO3" i="4" s="1"/>
  <c r="EP3" i="4" s="1"/>
  <c r="EQ3" i="4" s="1"/>
  <c r="ER3" i="4" s="1"/>
  <c r="ES3" i="4" s="1"/>
  <c r="ET3" i="4" s="1"/>
  <c r="EU3" i="4" s="1"/>
  <c r="EV3" i="4" s="1"/>
  <c r="EW3" i="4" s="1"/>
  <c r="EX3" i="4" s="1"/>
  <c r="EY3" i="4" s="1"/>
  <c r="EZ3" i="4" s="1"/>
  <c r="FA3" i="4" s="1"/>
  <c r="FB3" i="4" s="1"/>
  <c r="FC3" i="4" s="1"/>
  <c r="FD3" i="4" s="1"/>
  <c r="FE3" i="4" s="1"/>
  <c r="FF3" i="4" s="1"/>
  <c r="FG3" i="4" s="1"/>
  <c r="FH3" i="4" s="1"/>
  <c r="FI3" i="4" s="1"/>
  <c r="FJ3" i="4" s="1"/>
  <c r="AL3" i="3"/>
  <c r="AK3" i="3"/>
  <c r="J3" i="3"/>
  <c r="K3" i="3" s="1"/>
  <c r="L3" i="3" s="1"/>
  <c r="M3" i="3" s="1"/>
  <c r="N3" i="3" s="1"/>
  <c r="O3" i="3" s="1"/>
  <c r="P3" i="3" s="1"/>
  <c r="Q3" i="3" s="1"/>
  <c r="R3" i="3" s="1"/>
  <c r="S3" i="3" s="1"/>
  <c r="T3" i="3" s="1"/>
  <c r="U3" i="3" s="1"/>
  <c r="V3" i="3" s="1"/>
  <c r="W3" i="3" s="1"/>
  <c r="X3" i="3" s="1"/>
  <c r="Y3" i="3" s="1"/>
  <c r="Z3" i="3" s="1"/>
  <c r="AA3" i="3" s="1"/>
  <c r="AB3" i="3" s="1"/>
  <c r="AC3" i="3" s="1"/>
  <c r="AD3" i="3" s="1"/>
  <c r="AE3" i="3" s="1"/>
  <c r="AF3" i="3" s="1"/>
  <c r="AG3" i="3" s="1"/>
  <c r="AH3" i="3" s="1"/>
  <c r="AI3" i="3" s="1"/>
  <c r="AJ3" i="3" s="1"/>
  <c r="F5" i="3"/>
  <c r="G5" i="3" s="1"/>
  <c r="F6" i="3" s="1"/>
  <c r="G6" i="3" s="1"/>
  <c r="F7" i="3" s="1"/>
  <c r="G7" i="3" s="1"/>
  <c r="F8" i="3" s="1"/>
  <c r="G8" i="3" s="1"/>
  <c r="F9" i="3" s="1"/>
  <c r="G9" i="3" s="1"/>
  <c r="F10" i="3" s="1"/>
  <c r="G10" i="3" s="1"/>
  <c r="F11" i="3" s="1"/>
  <c r="G11" i="3" s="1"/>
  <c r="F12" i="3" s="1"/>
  <c r="G12" i="3" s="1"/>
  <c r="F13" i="3" s="1"/>
  <c r="G13" i="3" s="1"/>
  <c r="F14" i="3" s="1"/>
  <c r="G14" i="3" s="1"/>
  <c r="F15" i="3" s="1"/>
  <c r="G15" i="3" s="1"/>
  <c r="F16" i="3" s="1"/>
  <c r="G16" i="3" s="1"/>
  <c r="F17" i="3" s="1"/>
  <c r="G17" i="3" s="1"/>
  <c r="F18" i="3" s="1"/>
  <c r="G18" i="3" s="1"/>
  <c r="F19" i="3" s="1"/>
  <c r="G19" i="3" s="1"/>
  <c r="F20" i="3" s="1"/>
  <c r="G20" i="3" s="1"/>
  <c r="F21" i="3" s="1"/>
  <c r="G21" i="3" s="1"/>
  <c r="F22" i="3" s="1"/>
  <c r="G22" i="3" s="1"/>
</calcChain>
</file>

<file path=xl/sharedStrings.xml><?xml version="1.0" encoding="utf-8"?>
<sst xmlns="http://schemas.openxmlformats.org/spreadsheetml/2006/main" count="338" uniqueCount="236">
  <si>
    <t>Numero</t>
  </si>
  <si>
    <t>Inicio</t>
  </si>
  <si>
    <t>Fin</t>
  </si>
  <si>
    <t>Duracion</t>
  </si>
  <si>
    <t>Descripcion</t>
  </si>
  <si>
    <t>01</t>
  </si>
  <si>
    <t>02</t>
  </si>
  <si>
    <t>03</t>
  </si>
  <si>
    <t>04</t>
  </si>
  <si>
    <t>Actividades iniciales</t>
  </si>
  <si>
    <t>Diseño conceptual del programa</t>
  </si>
  <si>
    <t>Diseño Front end</t>
  </si>
  <si>
    <t>Diseño Back end</t>
  </si>
  <si>
    <t>Etapa de programacion Front end</t>
  </si>
  <si>
    <t>Etapa de programacion Back end</t>
  </si>
  <si>
    <t>Consolidacion de repositorio</t>
  </si>
  <si>
    <t>Evaluacion de funcionalidades</t>
  </si>
  <si>
    <t>Opinion de usuarios</t>
  </si>
  <si>
    <t>Periodo de mejoras</t>
  </si>
  <si>
    <t>Testeo</t>
  </si>
  <si>
    <t>entrega de producto final</t>
  </si>
  <si>
    <t>05</t>
  </si>
  <si>
    <t>06</t>
  </si>
  <si>
    <t>07</t>
  </si>
  <si>
    <t>08</t>
  </si>
  <si>
    <t>09</t>
  </si>
  <si>
    <t>10</t>
  </si>
  <si>
    <t>11</t>
  </si>
  <si>
    <t>12</t>
  </si>
  <si>
    <t>Para organizar y mejorar eficazmente el proceso de desarrollo del programa de diseño de subestaciones eléctricas con PyQt5, podemos desglosar las tareas en un cronograma estructurado. Este cronograma incluirá los pasos principales, asignará responsabilidades a los desarrolladores y proporcionará un cronograma para cada fase.</t>
  </si>
  <si>
    <t>Initial Activities</t>
  </si>
  <si>
    <t>Backend Design</t>
  </si>
  <si>
    <t>Repository Consolidation</t>
  </si>
  <si>
    <t>Functionality Evaluation</t>
  </si>
  <si>
    <t>Improvement Period</t>
  </si>
  <si>
    <t>Conceptual Design of the Program</t>
  </si>
  <si>
    <t>User Experience (UX) Research</t>
  </si>
  <si>
    <t xml:space="preserve">Prototyping </t>
  </si>
  <si>
    <t>13</t>
  </si>
  <si>
    <t>14</t>
  </si>
  <si>
    <t>15</t>
  </si>
  <si>
    <t>16</t>
  </si>
  <si>
    <t>17</t>
  </si>
  <si>
    <t>18</t>
  </si>
  <si>
    <t>19</t>
  </si>
  <si>
    <t xml:space="preserve">Frontend Design </t>
  </si>
  <si>
    <t>Frontend Programming Phase</t>
  </si>
  <si>
    <t>Backend Programming Phase</t>
  </si>
  <si>
    <t>Performance Optimization</t>
  </si>
  <si>
    <t>Security Assessment</t>
  </si>
  <si>
    <t>User Feedback</t>
  </si>
  <si>
    <t xml:space="preserve">Testing </t>
  </si>
  <si>
    <t>Documentation and Training Materials</t>
  </si>
  <si>
    <t>Deployment Preparation</t>
  </si>
  <si>
    <t>Post-Deployment Support</t>
  </si>
  <si>
    <t>Task</t>
  </si>
  <si>
    <t>Project Schedule</t>
  </si>
  <si>
    <t>Nº</t>
  </si>
  <si>
    <t>Objective</t>
  </si>
  <si>
    <t>Start</t>
  </si>
  <si>
    <t>End</t>
  </si>
  <si>
    <t>Duration (weeks)</t>
  </si>
  <si>
    <t>- **Objective**: Define project scope, requirements, and team roles.
- **Tasks**:
  - Kick-off meeting to discuss project goals.
  - Define user requirements and specifications.
  - Assign roles and responsibilities.
- **Team**: All developers (1 Senior, 3 Junior)</t>
  </si>
  <si>
    <t>- **Objective**: Create a high-level design of the application.
- **Tasks**:
  - Outline the main features and functionalities.
  - Create wireframes for the user interface.
  - Define the architecture (MVC, MVVM, etc.).
- **Team**: Senior Developer leads, Junior Developers assist.</t>
  </si>
  <si>
    <t xml:space="preserve">- **Objective**: Understand user needs and preferences to improve usability.
- **Tasks**:
  - Conduct surveys and interviews with potential users.
  - Analyze existing applications for best practices in UX design.
  - Create user personas and scenarios.
- **Team**: 1 Junior Developer (research and documentation), Senior Developer (oversight).
</t>
  </si>
  <si>
    <t>- **Objective**: Create interactive prototypes to visualize the application flow.
- **Tasks**:
  - Use tools like Figma or Adobe XD to create clickable prototypes.
  - Present prototypes to stakeholders for feedback.
  - Iterate on the design based on feedback.
- **Team**: 1 Junior Developer (design and iteration), Senior Developer (review).</t>
  </si>
  <si>
    <t>- **Objective**: Design the user interface using PyQt5.
- **Tasks**:
  - Create UI mockups based on wireframes.
  - Implement the layout in Qt Designer.
  - Define styles and themes.
- **Team**: 2 Junior Developers (1 focused on layout, 1 on styling), Senior Developer reviews.</t>
  </si>
  <si>
    <t>- **Objective**: Design the backend architecture and database schema.
- **Tasks**:
  - Define data models and relationships.
  - Create API endpoints if needed.
  - Plan data storage (e.g., SQLite, JSON).
- **Team**: Senior Developer leads, 1 Junior Developer assists.</t>
  </si>
  <si>
    <t>- **Objective**: Implement the frontend functionality.
- **Tasks**:
  - Develop UI components and connect signals/slots.
  - Implement user interactions and data display.
  - Integrate with backend services.
- **Team**: 2 Junior Developers (1 focused on UI components, 1 on data integration), Senior Developer oversees.</t>
  </si>
  <si>
    <t>- **Objective**: Implement backend functionality.
- **Tasks**:
  - Develop data models and business logic.
  - Implement API endpoints and data handling.
  - Ensure data validation and error handling.
- **Team**: Senior Developer leads, 1 Junior Developer assists.</t>
  </si>
  <si>
    <t>- **Objective**: Ensure the application runs efficiently and can handle large datasets.
- **Tasks**:
  - Profile the application to identify performance bottlenecks.
  - Optimize data loading and rendering processes.
  - Implement caching strategies where applicable.
- **Team**: Senior Developer leads, 1 Junior Developer assists.</t>
  </si>
  <si>
    <t>- **Objective**: Identify and mitigate potential security vulnerabilities.
- **Tasks**:
  - Conduct a security review of the codebase.
  - Implement best practices for data handling and storage.
  - Test for common vulnerabilities (e.g., SQL injection, XSS).
- **Team**: Senior Developer leads, all developers participate in testing.</t>
  </si>
  <si>
    <t>- **Objective**: Organize and consolidate code in a version control system.
- **Tasks**:
  - Set up Git repository.
  - Ensure proper branching strategy (feature branches, main branch).
  - Document code and commit changes.
- **Team**: All developers.</t>
  </si>
  <si>
    <t>- **Objective**: Review and evaluate implemented features.
- **Tasks**:
  - Conduct code reviews.
  - Test functionalities against requirements.
  - Gather feedback from team members.
- **Team**: All developers.</t>
  </si>
  <si>
    <t>- **Objective**: Gather feedback from potential users.
- **Tasks**:
  - Conduct user testing sessions.
  - Collect feedback on usability and functionality.
  - Document user suggestions and issues.
- **Team**: All developers.</t>
  </si>
  <si>
    <t>- **Objective**: Address feedback and improve the application.
- **Tasks**:
  - Prioritize user feedback and issues.
  - Implement necessary changes and enhancements.
  - Conduct additional testing to ensure improvements.
- **Team**: All developers.</t>
  </si>
  <si>
    <t>- **Objective**: Ensure the application is stable and bug-free.
- **Tasks**:
  - Perform unit testing and integration testing.
  - Conduct user acceptance testing (UAT).
  - Document and fix any identified bugs.
- **Team**: All developers.</t>
  </si>
  <si>
    <t>- **Objective**: Create comprehensive documentation for users and developers.
- **Tasks**:
  - Write user manuals and installation guides.
  - Create API documentation if applicable.
  - Develop training materials for end-users.
- **Team**: 1 Junior Developer (documentation), Senior Developer (review).</t>
  </si>
  <si>
    <t>- **Objective**: Prepare the application for deployment to production environments.
- **Tasks**:
  - Set up deployment scripts and configurations.
  - Test the deployment process in a staging environment.
  - Ensure all dependencies are documented and included.
- **Team**: Senior Developer leads, 1 Junior Developer assists.</t>
  </si>
  <si>
    <t xml:space="preserve">Deployment </t>
  </si>
  <si>
    <t>- **Objective**: Launch the application to production.
- **Tasks**:
  - Execute the deployment plan.
  - Monitor the deployment process for issues.
  - Ensure the application is accessible to users.
- **Team**: All developers.</t>
  </si>
  <si>
    <t xml:space="preserve">
- **Objective**: Provide support and address issues after the application is live.
- **Tasks**:
  - Monitor application performance and user feedback.
  - Address any critical bugs or issues that arise.
  - Plan for future updates and feature enhancements based on user feedback.
- **Team**: All developers.</t>
  </si>
  <si>
    <t>Team</t>
  </si>
  <si>
    <t>**Team**: All developers (1 Senior, 3 Junior)</t>
  </si>
  <si>
    <t>**Team**: Senior Developer leads, Junior Developers assist.</t>
  </si>
  <si>
    <t>**Team**: 1 Junior Developer (research and documentation), Senior Developer (oversight).</t>
  </si>
  <si>
    <t>**Team**: 1 Junior Developer (design and iteration), Senior Developer (review).</t>
  </si>
  <si>
    <t>**Team**: 2 Junior Developers (1 focused on layout, 1 on styling), Senior Developer reviews.</t>
  </si>
  <si>
    <t>**Team**: Senior Developer leads, 1 Junior Developer assists.</t>
  </si>
  <si>
    <t>**Team**: 2 Junior Developers (1 focused on UI components, 1 on data integration), Senior Developer oversees.</t>
  </si>
  <si>
    <t>**Team**: Senior Developer leads, all developers participate in testing.</t>
  </si>
  <si>
    <t>**Team**: All developers.</t>
  </si>
  <si>
    <t>**Team**: All developers</t>
  </si>
  <si>
    <t>**Team**: 1 Junior Developer (documentation), Senior Developer (review).</t>
  </si>
  <si>
    <t>Fase de Frontend Programming</t>
  </si>
  <si>
    <t>Fase de Backend Programming</t>
  </si>
  <si>
    <t>Consolidación del repositorio</t>
  </si>
  <si>
    <t>Evaluacion de funcionalidad</t>
  </si>
  <si>
    <t>Periodo para incluir mejoras</t>
  </si>
  <si>
    <t>Subtareas</t>
  </si>
  <si>
    <t>Definir el alcance del proyecto, requerimientos, y roles de los equipos.</t>
  </si>
  <si>
    <t>Crear un diseño de alto nivel para la aplicacion.</t>
  </si>
  <si>
    <t xml:space="preserve">Entender las necesidades y preferencias del usuario para mejorar la usabilidad
</t>
  </si>
  <si>
    <t>Crear prototipos interactivos para vizualizar el flujo de la applicacion</t>
  </si>
  <si>
    <t xml:space="preserve">Diseñar la interfaz grafica de usuario usando PyQt5.
</t>
  </si>
  <si>
    <t>Diseñar la arquitectura backend y el esquema de la base de datos</t>
  </si>
  <si>
    <t>Implementar la funcionalidad del frontend.</t>
  </si>
  <si>
    <t>Implementar funcionalidad de backend.</t>
  </si>
  <si>
    <t>Asegúrese de que la aplicación funcione de manera eficiente y pueda manejar grandes conjuntos de datos.</t>
  </si>
  <si>
    <t>Identificar y mitigar posibles vulnerabilidades de seguridad.</t>
  </si>
  <si>
    <t>Organizar y consolidar el código en un sistema de control de versiones.</t>
  </si>
  <si>
    <t>Revisar y evaluar las funcionalidades implementadas.</t>
  </si>
  <si>
    <t>Recopilar comentarios de usuarios potenciales.</t>
  </si>
  <si>
    <t>Abordar los comentarios y mejorar la aplicación.</t>
  </si>
  <si>
    <t>Asegúrese de que la aplicación sea estable y libre de errores.</t>
  </si>
  <si>
    <t>Cree documentación completa para usuarios y desarrolladores.</t>
  </si>
  <si>
    <t>Preparar la aplicación para su implementación en entornos de producción.</t>
  </si>
  <si>
    <t>Inicie la aplicación en producción.</t>
  </si>
  <si>
    <t>Brindar soporte y abordar problemas después de que la aplicación esté activa.</t>
  </si>
  <si>
    <t>Reunión inicial para discutir los objetivos del proyecto.
Definir los requisitos y especificaciones del usuario.
Asignar roles y responsabilidades.</t>
  </si>
  <si>
    <t>- Realizar encuestas y entrevistas con usuarios potenciales.
- Analizar las aplicaciones existentes para encontrar las mejores prácticas en diseño de UX.
- Crear perfiles de usuario y escenarios.</t>
  </si>
  <si>
    <t>- Utilizar herramientas como Figma o Adobe XD para crear prototipos interactivos.
- Presentar los prototipos a las partes interesadas para obtener su opinión.
- Repetir el diseño según la opinión recibida.</t>
  </si>
  <si>
    <t>- Crear prototipos de interfaz de usuario basados ​​en wireframes.
- Implementar el diseño en Qt Designer.
- Definir estilos y temas.</t>
  </si>
  <si>
    <t>- Definir modelos de datos y relaciones.
- Crear puntos finales de API si es necesario.
- Planificar el almacenamiento de datos (p. ej., SQLite, JSON).</t>
  </si>
  <si>
    <t>- Desarrollar componentes de interfaz de usuario y conectar señales/slots.
- Implementar interacciones de usuario y visualización de datos.
- Integrar con servicios backend.</t>
  </si>
  <si>
    <t>-Desarrollar modelos de datos y lógica de negocio.
- Implementar puntos finales de API y gestión de datos.
- Garantizar la validación de datos y la gestión de errores.</t>
  </si>
  <si>
    <t>-Perfilar la aplicación para identificar cuellos de botella en el rendimiento.
- Optimizar los procesos de carga y renderizado de datos.
- Implementar estrategias de almacenamiento en caché cuando corresponda.</t>
  </si>
  <si>
    <t>- Realizar una revisión de seguridad del código base.
- Implementar las mejores prácticas para el manejo y almacenamiento de datos.
- Realizar pruebas para detectar vulnerabilidades comunes (p. ej., inyección SQL, XSS).</t>
  </si>
  <si>
    <t>-Configurar el repositorio de Git.
- Asegurar una estrategia de ramificación adecuada (ramas funcionales, rama principal).
- Documentar el código y confirmar los cambios.</t>
  </si>
  <si>
    <t>-Realizar revisiones de código.
- Probar las funcionalidades según los requisitos.
- Recopilar comentarios de los miembros del equipo.</t>
  </si>
  <si>
    <t>-Realizar sesiones de pruebas con usuarios.
- Recopilar comentarios sobre usabilidad y funcionalidad.
- Documentar las sugerencias y problemas de los usuarios.</t>
  </si>
  <si>
    <t>-Prioritize user feedback and issues.
  - Implement necessary changes and enhancements.
  - Conduct additional testing to ensure improvements.</t>
  </si>
  <si>
    <t>-Realizar pruebas unitarias y de integración.
- Realizar pruebas de aceptación del usuario (UAT).
- Documentar y corregir cualquier error identificado.</t>
  </si>
  <si>
    <t>-Configurar scripts y configuraciones de implementación.
- Probar el proceso de implementación en un entorno de pruebas.
- Asegurarse de que todas las dependencias estén documentadas e incluidas.</t>
  </si>
  <si>
    <t>-Ejecutar el plan de implementación.
- Supervisar el proceso de implementación para detectar problemas.
- Asegurarse de que la aplicación sea accesible para los usuarios.</t>
  </si>
  <si>
    <t>-Supervisar el rendimiento de la aplicación y los comentarios de los usuarios.
- Solucionar cualquier error o problema crítico que surja.
- Planificar futuras actualizaciones y mejoras de funciones según los comentarios de los usuarios.</t>
  </si>
  <si>
    <t>- Describir las principales características y funcionalidades.
- Crear wireframes para la interfaz de usuario. (opcion usar : https://wireframe.cc/)
- Definir la arquitectura (MVC, MVVM, etc.).</t>
  </si>
  <si>
    <t>Priorizar los comentarios y problemas de los usuarios.
Implementar los cambios y mejoras necesarios.
Realizar pruebas adicionales para garantizar las mejoras.</t>
  </si>
  <si>
    <t>Documentacion</t>
  </si>
  <si>
    <t>All developers (1 Senior, 3 Junior)</t>
  </si>
  <si>
    <t>Senior Developer leads, Junior Developers assist.</t>
  </si>
  <si>
    <t xml:space="preserve"> 1 Junior Developer (research and documentation), Senior Developer (oversight).</t>
  </si>
  <si>
    <t>1 Junior Developer (design and iteration), Senior Developer (review).</t>
  </si>
  <si>
    <t xml:space="preserve"> 2 Junior Developers (1 focused on layout, 1 on styling), Senior Developer reviews.</t>
  </si>
  <si>
    <t>Senior Developer leads, 1 Junior Developer assists.</t>
  </si>
  <si>
    <t>2 Junior Developers (1 focused on UI components, 1 on data integration), Senior Developer oversees.</t>
  </si>
  <si>
    <t>Senior Developer leads, all developers participate in testing.</t>
  </si>
  <si>
    <t>All developers.</t>
  </si>
  <si>
    <t>All developers</t>
  </si>
  <si>
    <t>1 Junior Developer (documentation), Senior Developer (review).</t>
  </si>
  <si>
    <t>Objetivo</t>
  </si>
  <si>
    <t>Tarea</t>
  </si>
  <si>
    <t>Equipo</t>
  </si>
  <si>
    <t>x</t>
  </si>
  <si>
    <t>Duration (semanas)</t>
  </si>
  <si>
    <t>Elaboración, implementación y administración del plan de seguridad y salud en el trabajo</t>
  </si>
  <si>
    <t xml:space="preserve"> FIN DEL PROYECTO</t>
  </si>
  <si>
    <t>Duración
(dias)</t>
  </si>
  <si>
    <t>Duración
(Semanas)</t>
  </si>
  <si>
    <t>Tendido de conductor AAC 304mm2 (45m)</t>
  </si>
  <si>
    <t>Montaje de Columnas y Vigas de Pórticos</t>
  </si>
  <si>
    <t>Demolicion en pared edificio de control 10 kV</t>
  </si>
  <si>
    <t>Ensanche de puerta en Edificio de control 10 kV para ingreso de nueva celda MT</t>
  </si>
  <si>
    <t>Adecuación de la malla de tierra profunda y superficial en edificios de control 10 kV</t>
  </si>
  <si>
    <t>Demolición de un tramo de las canaletas de cables de control existentes</t>
  </si>
  <si>
    <t xml:space="preserve">Demoliciones en patio de llaves </t>
  </si>
  <si>
    <t>Fundación de seccionadores de barra en 60 y 138 kV</t>
  </si>
  <si>
    <t>Fundación de interruptor de potencia en 60 y 138 kV</t>
  </si>
  <si>
    <t>Fundación de Pórticos 138 kV</t>
  </si>
  <si>
    <t>Fundación de Estructuras de 10kV</t>
  </si>
  <si>
    <t>Fundación de Estructuras de 22.9kV</t>
  </si>
  <si>
    <t>Desenergización del patio de llaves en 60 kV</t>
  </si>
  <si>
    <t>Desmontaje de pórticos existentes</t>
  </si>
  <si>
    <t>Tendido de cables de control para la integración de la nueva celda de llegada 10kV al sistema de protección diferencial del transformador existente (tablero ubicado en el edificio de control existente)</t>
  </si>
  <si>
    <t>Tendido de los cables de control y SSAA para los equipos de patio</t>
  </si>
  <si>
    <t>Montaje electromecánico de celdas y tableros en edificio de control 10kV (incluye pruebas)</t>
  </si>
  <si>
    <t>Montaje de los tableros de protección y de regulación automática asociados a la nueva bahía de transformación y al nuevo transformador</t>
  </si>
  <si>
    <t>Pruebas a los tableros de protección y regulación automática del transformador de potencia</t>
  </si>
  <si>
    <t>Habilitación y Pruebas de transformador de potencia 30/30/5/25 MVA</t>
  </si>
  <si>
    <t>Montaje y pruebas de equipos en bahía de transformación 60 kV</t>
  </si>
  <si>
    <t>Montaje y pruebas de equipos en bahía de transformación 138 kV</t>
  </si>
  <si>
    <t>Montaje y pruebas de los descargadores de sobretensión 138 kV sobre Viga de Pórtico</t>
  </si>
  <si>
    <t>Elaboración del plan de energización del nuevo sistema de celdas 10kV</t>
  </si>
  <si>
    <t>Elaboración del plan de energización del nuevo arreglo de seccionadores 22.9kV</t>
  </si>
  <si>
    <t>Desenergización del transformador de potencia T52-61, T63-121</t>
  </si>
  <si>
    <t>Conexión del nuevo sistema de cables 10kV proyectado entre la nueva celda de llegada 10kV y los bornes del transformador de potencia</t>
  </si>
  <si>
    <t>Conexión e integración de la celda de llegada 10kV al sistema de protección diferencial del transformador</t>
  </si>
  <si>
    <t>Energización del transformador de potencia existente y del sistema de celdas proyectadas</t>
  </si>
  <si>
    <t>Energización del nuevo transformador de potencia 30/30/5/25 MVA</t>
  </si>
  <si>
    <t>Elaboración y aprobación del dossier de calidad</t>
  </si>
  <si>
    <t>Acta de entrega y recepción del proyecto a Isa Rep</t>
  </si>
  <si>
    <t>Desmovilización del contratista</t>
  </si>
  <si>
    <t>Verificacion de ingenieria, planos unifilares, logicos y de conexionado de tableros y equipos</t>
  </si>
  <si>
    <t>Compatibilización de señales nuevas y existentes</t>
  </si>
  <si>
    <t>Identificacion y rotulado de cables según planos electricos</t>
  </si>
  <si>
    <t>Amarillado y timbrado para verificacion de conexión del sistema de control (Verificación I/O)</t>
  </si>
  <si>
    <t>configuración de reles multifuncion</t>
  </si>
  <si>
    <t>Configuracion y sincronización de GPS</t>
  </si>
  <si>
    <t>Integración SCADA/RTU</t>
  </si>
  <si>
    <t>Validación de automatismos</t>
  </si>
  <si>
    <t>Conexionado al interior de tableros de acuerdo a planos electricos</t>
  </si>
  <si>
    <t>simulación de eventos</t>
  </si>
  <si>
    <t>Pruebas en vacío</t>
  </si>
  <si>
    <t>Pruesta en servicio</t>
  </si>
  <si>
    <t>Campamento de obra (oficinas, almacén, vestuario, otros) y señalización</t>
  </si>
  <si>
    <t>Limpieza inicial, trazo, nivelación y replanteo</t>
  </si>
  <si>
    <t xml:space="preserve">Canalizaciones del patio de llaves (Ductos, canaletas y buzones) </t>
  </si>
  <si>
    <t>Desmontaje de equipos (seccionador de barra e interruptores de potencia en 60 y 138 kV)</t>
  </si>
  <si>
    <t>Tendido de cables de media tensión adicional, desde celdas GIS 22.9kV hasta transformador T63-121</t>
  </si>
  <si>
    <t>Montaje de arreglo de seccionadores de 22.9kV a la salida del transformador T63-121</t>
  </si>
  <si>
    <t>Revisión de planos y compras (Equipos, celdas, tableros, etc.)</t>
  </si>
  <si>
    <t>Adecuación de la red de tierra profunda en patio de llaves 138 kV y 60 kV, ademas en bahia de transformacion T58-1621, T63-121</t>
  </si>
  <si>
    <t>Tendido de cables de media tensión desde celdas en edificio de control 10 kV  hasta transformador de potencia T58-1621</t>
  </si>
  <si>
    <t>Montaje y pruebas de los descargadores de sobretensión 60 kV sobre Transformador T58-1621</t>
  </si>
  <si>
    <t>##Actividades Preliminares</t>
  </si>
  <si>
    <t>##Obras Civiles - Demoliciones y Adecuaciones</t>
  </si>
  <si>
    <t>##Obras civiles - Construcción</t>
  </si>
  <si>
    <t>##Obras Electromecánicas - Desmontaje</t>
  </si>
  <si>
    <t>##Obras Electromecánicas - Montaje</t>
  </si>
  <si>
    <t>##Implementación sistemas de control y automatización</t>
  </si>
  <si>
    <t>##Energización</t>
  </si>
  <si>
    <t>##Actividades finales</t>
  </si>
  <si>
    <t>Dependencias</t>
  </si>
  <si>
    <t>–</t>
  </si>
  <si>
    <t>8, 9</t>
  </si>
  <si>
    <t>15, 16</t>
  </si>
  <si>
    <t>17, 18</t>
  </si>
  <si>
    <t>27, 28</t>
  </si>
  <si>
    <t>29, 30</t>
  </si>
  <si>
    <t>31, 32</t>
  </si>
  <si>
    <t>36, 37</t>
  </si>
  <si>
    <t>38, 39</t>
  </si>
  <si>
    <t>43, 44</t>
  </si>
  <si>
    <t>46, 47</t>
  </si>
  <si>
    <t>55, 56</t>
  </si>
  <si>
    <t>#SERVICIO DE INGENIERÍA PRIMARIA CIVIL, ELECTROMECÁNICA PARA IMPLEMENTACIÓN DEL TRANSFORMADOR DE RESERVA T58-1621</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</si>
</sst>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u/>
      <sz val="11"/>
      <color theme="1"/>
      <name val="Calibri"/>
      <family val="2"/>
      <scheme val="minor"/>
    </font>
    <font>
      <u/>
      <sz val="14"/>
      <color theme="1"/>
      <name val="Calibri"/>
      <family val="2"/>
      <scheme val="minor"/>
    </font>
    <font>
      <b/>
      <sz val="16"/>
      <color theme="1"/>
      <name val="Calibri"/>
      <family val="2"/>
      <scheme val="minor"/>
    </font>
    <font>
      <sz val="11"/>
      <color rgb="FF000000"/>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rgb="FF1E81B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style="medium">
        <color theme="0" tint="-0.14996795556505021"/>
      </top>
      <bottom style="medium">
        <color theme="0" tint="-0.14996795556505021"/>
      </bottom>
      <diagonal/>
    </border>
    <border>
      <left style="thin">
        <color indexed="64"/>
      </left>
      <right style="thin">
        <color indexed="64"/>
      </right>
      <top style="thin">
        <color indexed="64"/>
      </top>
      <bottom/>
      <diagonal/>
    </border>
    <border>
      <left style="thin">
        <color rgb="FFFF0000"/>
      </left>
      <right/>
      <top/>
      <bottom/>
      <diagonal/>
    </border>
    <border>
      <left/>
      <right/>
      <top/>
      <bottom style="thin">
        <color rgb="FFFF0000"/>
      </bottom>
      <diagonal/>
    </border>
    <border>
      <left/>
      <right/>
      <top style="thin">
        <color rgb="FFFF0000"/>
      </top>
      <bottom style="thin">
        <color rgb="FFFF0000"/>
      </bottom>
      <diagonal/>
    </border>
    <border>
      <left style="thin">
        <color rgb="FFFF0000"/>
      </left>
      <right/>
      <top/>
      <bottom style="thin">
        <color rgb="FFFF0000"/>
      </bottom>
      <diagonal/>
    </border>
  </borders>
  <cellStyleXfs count="2">
    <xf numFmtId="0" fontId="0" fillId="0" borderId="0"/>
    <xf numFmtId="0" fontId="5" fillId="0" borderId="2" applyFill="0">
      <alignment horizontal="left" vertical="center" indent="2"/>
    </xf>
  </cellStyleXfs>
  <cellXfs count="41">
    <xf numFmtId="0" fontId="0" fillId="0" borderId="0" xfId="0"/>
    <xf numFmtId="0" fontId="0" fillId="0" borderId="0" xfId="0" quotePrefix="1"/>
    <xf numFmtId="0" fontId="1" fillId="0" borderId="0" xfId="0" applyFont="1"/>
    <xf numFmtId="0" fontId="0" fillId="0" borderId="0" xfId="0" quotePrefix="1" applyAlignment="1">
      <alignment wrapText="1"/>
    </xf>
    <xf numFmtId="0" fontId="0" fillId="0" borderId="0" xfId="0" quotePrefix="1" applyAlignment="1">
      <alignment horizontal="left" vertical="center" wrapText="1"/>
    </xf>
    <xf numFmtId="0" fontId="0" fillId="0" borderId="0" xfId="0" quotePrefix="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2" fillId="0" borderId="0" xfId="0" applyFont="1"/>
    <xf numFmtId="0" fontId="0" fillId="0" borderId="1" xfId="0" applyBorder="1" applyAlignment="1">
      <alignment horizontal="center" vertical="center" wrapText="1"/>
    </xf>
    <xf numFmtId="0" fontId="0" fillId="0" borderId="1" xfId="0" quotePrefix="1" applyBorder="1" applyAlignment="1">
      <alignment horizontal="center" vertical="center" wrapText="1"/>
    </xf>
    <xf numFmtId="16" fontId="0" fillId="0" borderId="1" xfId="0" applyNumberFormat="1" applyBorder="1" applyAlignment="1">
      <alignment horizontal="center" vertical="center" wrapText="1"/>
    </xf>
    <xf numFmtId="0" fontId="0" fillId="2" borderId="1" xfId="0" applyFill="1" applyBorder="1" applyAlignment="1">
      <alignment horizontal="center" vertical="center" wrapText="1"/>
    </xf>
    <xf numFmtId="0" fontId="0" fillId="0" borderId="1" xfId="0" quotePrefix="1" applyBorder="1" applyAlignment="1">
      <alignment horizontal="left" vertical="center" wrapText="1"/>
    </xf>
    <xf numFmtId="0" fontId="0" fillId="0" borderId="1" xfId="0" applyBorder="1" applyAlignment="1">
      <alignment horizontal="left" vertical="center" wrapText="1"/>
    </xf>
    <xf numFmtId="14" fontId="0" fillId="0" borderId="1" xfId="0" applyNumberFormat="1" applyBorder="1" applyAlignment="1">
      <alignment textRotation="90"/>
    </xf>
    <xf numFmtId="0" fontId="3" fillId="0" borderId="1" xfId="0" applyFont="1" applyFill="1" applyBorder="1" applyAlignment="1">
      <alignment horizontal="center" vertical="center"/>
    </xf>
    <xf numFmtId="0" fontId="0" fillId="0" borderId="1" xfId="0" quotePrefix="1" applyNumberFormat="1" applyBorder="1" applyAlignment="1">
      <alignment horizontal="center" vertical="center" wrapText="1"/>
    </xf>
    <xf numFmtId="0" fontId="0" fillId="2" borderId="3" xfId="0" applyFill="1" applyBorder="1" applyAlignment="1">
      <alignment horizontal="center" vertical="center" wrapText="1"/>
    </xf>
    <xf numFmtId="14" fontId="6" fillId="0" borderId="1" xfId="0" applyNumberFormat="1" applyFont="1" applyFill="1" applyBorder="1" applyAlignment="1">
      <alignment textRotation="90"/>
    </xf>
    <xf numFmtId="0" fontId="7" fillId="2" borderId="1" xfId="1" applyFont="1" applyFill="1" applyBorder="1" applyAlignment="1">
      <alignment horizontal="left" vertical="center" wrapText="1"/>
    </xf>
    <xf numFmtId="0" fontId="0" fillId="0" borderId="1" xfId="0" applyFill="1" applyBorder="1" applyAlignment="1">
      <alignment horizontal="center" vertical="center" wrapText="1"/>
    </xf>
    <xf numFmtId="2" fontId="0" fillId="0" borderId="1" xfId="0" applyNumberFormat="1" applyFill="1" applyBorder="1" applyAlignment="1">
      <alignment horizontal="center" vertical="center" wrapText="1"/>
    </xf>
    <xf numFmtId="14" fontId="0" fillId="0" borderId="1" xfId="0" applyNumberFormat="1" applyFill="1" applyBorder="1" applyAlignment="1">
      <alignment horizontal="center" vertical="center"/>
    </xf>
    <xf numFmtId="1" fontId="0" fillId="0" borderId="1" xfId="0" applyNumberFormat="1" applyFill="1" applyBorder="1" applyAlignment="1">
      <alignment horizontal="center" vertical="center"/>
    </xf>
    <xf numFmtId="0" fontId="0" fillId="0" borderId="1" xfId="1" applyFont="1" applyFill="1" applyBorder="1" applyAlignment="1">
      <alignment horizontal="left" vertical="center" wrapText="1"/>
    </xf>
    <xf numFmtId="0" fontId="8" fillId="0" borderId="1" xfId="1" applyFont="1" applyFill="1" applyBorder="1" applyAlignment="1">
      <alignment horizontal="left" vertical="center" wrapText="1"/>
    </xf>
    <xf numFmtId="2" fontId="0" fillId="0" borderId="1" xfId="1" applyNumberFormat="1" applyFont="1" applyFill="1" applyBorder="1" applyAlignment="1">
      <alignment horizontal="center" vertical="center"/>
    </xf>
    <xf numFmtId="0" fontId="7" fillId="0" borderId="1" xfId="1" applyFont="1" applyFill="1" applyBorder="1" applyAlignment="1">
      <alignment horizontal="center" vertical="center" wrapText="1"/>
    </xf>
    <xf numFmtId="0" fontId="0" fillId="0" borderId="1" xfId="0" applyFill="1" applyBorder="1" applyAlignment="1">
      <alignment horizontal="center" vertical="center"/>
    </xf>
    <xf numFmtId="14" fontId="6" fillId="0" borderId="3" xfId="0" applyNumberFormat="1" applyFont="1" applyFill="1" applyBorder="1" applyAlignment="1">
      <alignment textRotation="90"/>
    </xf>
    <xf numFmtId="14" fontId="6" fillId="0" borderId="0" xfId="0" applyNumberFormat="1" applyFont="1" applyFill="1" applyBorder="1" applyAlignment="1">
      <alignment textRotation="90"/>
    </xf>
    <xf numFmtId="0" fontId="0" fillId="0" borderId="0" xfId="0" applyFill="1" applyBorder="1"/>
    <xf numFmtId="0" fontId="0" fillId="3" borderId="0" xfId="0" applyFill="1" applyBorder="1"/>
    <xf numFmtId="0" fontId="0" fillId="0" borderId="0" xfId="0" applyAlignment="1">
      <alignment horizontal="left" vertical="center" wrapText="1"/>
    </xf>
    <xf numFmtId="0" fontId="0" fillId="0" borderId="4" xfId="0" applyFill="1" applyBorder="1"/>
    <xf numFmtId="0" fontId="0" fillId="3" borderId="5" xfId="0" applyFill="1" applyBorder="1"/>
    <xf numFmtId="0" fontId="0" fillId="3" borderId="6" xfId="0" applyFill="1" applyBorder="1"/>
    <xf numFmtId="0" fontId="0" fillId="0" borderId="7" xfId="0" applyFill="1" applyBorder="1"/>
  </cellXfs>
  <cellStyles count="2">
    <cellStyle name="Normal" xfId="0" builtinId="0"/>
    <cellStyle name="Tarea" xfId="1"/>
  </cellStyles>
  <dxfs count="1">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390525</xdr:colOff>
          <xdr:row>0</xdr:row>
          <xdr:rowOff>161925</xdr:rowOff>
        </xdr:from>
        <xdr:to>
          <xdr:col>8</xdr:col>
          <xdr:colOff>38100</xdr:colOff>
          <xdr:row>1</xdr:row>
          <xdr:rowOff>209550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ea typeface="Calibri"/>
                  <a:cs typeface="Calibri"/>
                </a:rPr>
                <a:t>-&gt;</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15"/>
  <sheetViews>
    <sheetView workbookViewId="0">
      <selection activeCell="H4" sqref="H4"/>
    </sheetView>
  </sheetViews>
  <sheetFormatPr baseColWidth="10" defaultRowHeight="15" x14ac:dyDescent="0.25"/>
  <sheetData>
    <row r="1" spans="1:9" ht="48.6" customHeight="1" x14ac:dyDescent="0.25">
      <c r="A1" s="36" t="s">
        <v>29</v>
      </c>
      <c r="B1" s="36"/>
      <c r="C1" s="36"/>
      <c r="D1" s="36"/>
      <c r="E1" s="36"/>
      <c r="F1" s="36"/>
      <c r="G1" s="36"/>
      <c r="H1" s="36"/>
      <c r="I1" s="36"/>
    </row>
    <row r="3" spans="1:9" ht="14.45" x14ac:dyDescent="0.3">
      <c r="A3" t="s">
        <v>0</v>
      </c>
      <c r="B3" t="s">
        <v>4</v>
      </c>
      <c r="C3" t="s">
        <v>1</v>
      </c>
      <c r="D3" t="s">
        <v>2</v>
      </c>
      <c r="E3" t="s">
        <v>3</v>
      </c>
    </row>
    <row r="4" spans="1:9" ht="14.45" x14ac:dyDescent="0.3">
      <c r="A4" s="1" t="s">
        <v>5</v>
      </c>
      <c r="B4" t="s">
        <v>9</v>
      </c>
    </row>
    <row r="5" spans="1:9" x14ac:dyDescent="0.25">
      <c r="A5" s="1" t="s">
        <v>6</v>
      </c>
      <c r="B5" t="s">
        <v>10</v>
      </c>
    </row>
    <row r="6" spans="1:9" x14ac:dyDescent="0.25">
      <c r="A6" s="1" t="s">
        <v>7</v>
      </c>
      <c r="B6" t="s">
        <v>11</v>
      </c>
    </row>
    <row r="7" spans="1:9" x14ac:dyDescent="0.25">
      <c r="A7" s="1" t="s">
        <v>8</v>
      </c>
      <c r="B7" t="s">
        <v>12</v>
      </c>
    </row>
    <row r="8" spans="1:9" ht="14.45" x14ac:dyDescent="0.3">
      <c r="A8" s="1" t="s">
        <v>21</v>
      </c>
      <c r="B8" t="s">
        <v>13</v>
      </c>
    </row>
    <row r="9" spans="1:9" ht="14.45" x14ac:dyDescent="0.3">
      <c r="A9" s="1" t="s">
        <v>22</v>
      </c>
      <c r="B9" t="s">
        <v>14</v>
      </c>
    </row>
    <row r="10" spans="1:9" ht="14.45" x14ac:dyDescent="0.3">
      <c r="A10" s="1" t="s">
        <v>23</v>
      </c>
      <c r="B10" t="s">
        <v>15</v>
      </c>
    </row>
    <row r="11" spans="1:9" ht="14.45" x14ac:dyDescent="0.3">
      <c r="A11" s="1" t="s">
        <v>24</v>
      </c>
      <c r="B11" t="s">
        <v>16</v>
      </c>
    </row>
    <row r="12" spans="1:9" ht="14.45" x14ac:dyDescent="0.3">
      <c r="A12" s="1" t="s">
        <v>25</v>
      </c>
      <c r="B12" t="s">
        <v>17</v>
      </c>
    </row>
    <row r="13" spans="1:9" ht="14.45" x14ac:dyDescent="0.3">
      <c r="A13" s="1" t="s">
        <v>26</v>
      </c>
      <c r="B13" t="s">
        <v>18</v>
      </c>
    </row>
    <row r="14" spans="1:9" ht="14.45" x14ac:dyDescent="0.3">
      <c r="A14" s="1" t="s">
        <v>27</v>
      </c>
      <c r="B14" t="s">
        <v>19</v>
      </c>
    </row>
    <row r="15" spans="1:9" ht="14.45" x14ac:dyDescent="0.3">
      <c r="A15" s="1" t="s">
        <v>28</v>
      </c>
      <c r="B15" t="s">
        <v>20</v>
      </c>
    </row>
  </sheetData>
  <mergeCells count="1">
    <mergeCell ref="A1:I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G27"/>
  <sheetViews>
    <sheetView topLeftCell="E2" workbookViewId="0">
      <selection activeCell="H4" sqref="H4"/>
    </sheetView>
  </sheetViews>
  <sheetFormatPr baseColWidth="10" defaultRowHeight="15" x14ac:dyDescent="0.25"/>
  <cols>
    <col min="1" max="1" width="4.42578125" customWidth="1"/>
    <col min="2" max="2" width="23.28515625" customWidth="1"/>
    <col min="3" max="4" width="56.85546875" customWidth="1"/>
  </cols>
  <sheetData>
    <row r="2" spans="1:7" ht="14.45" x14ac:dyDescent="0.3">
      <c r="A2" s="2" t="s">
        <v>56</v>
      </c>
    </row>
    <row r="3" spans="1:7" ht="30" x14ac:dyDescent="0.25">
      <c r="A3" s="8" t="s">
        <v>57</v>
      </c>
      <c r="B3" s="8" t="s">
        <v>55</v>
      </c>
      <c r="C3" s="8" t="s">
        <v>58</v>
      </c>
      <c r="D3" s="8" t="s">
        <v>82</v>
      </c>
      <c r="E3" s="8" t="s">
        <v>59</v>
      </c>
      <c r="F3" s="8" t="s">
        <v>60</v>
      </c>
      <c r="G3" s="8" t="s">
        <v>61</v>
      </c>
    </row>
    <row r="4" spans="1:7" ht="100.9" x14ac:dyDescent="0.3">
      <c r="A4" s="5" t="s">
        <v>5</v>
      </c>
      <c r="B4" s="6" t="s">
        <v>30</v>
      </c>
      <c r="C4" s="4" t="s">
        <v>62</v>
      </c>
      <c r="D4" s="4" t="s">
        <v>83</v>
      </c>
      <c r="G4" s="9">
        <v>1</v>
      </c>
    </row>
    <row r="5" spans="1:7" ht="86.45" x14ac:dyDescent="0.3">
      <c r="A5" s="5" t="s">
        <v>6</v>
      </c>
      <c r="B5" s="6" t="s">
        <v>35</v>
      </c>
      <c r="C5" s="3" t="s">
        <v>63</v>
      </c>
      <c r="D5" s="3" t="s">
        <v>84</v>
      </c>
      <c r="G5" s="9">
        <v>1</v>
      </c>
    </row>
    <row r="6" spans="1:7" ht="129.6" x14ac:dyDescent="0.3">
      <c r="A6" s="5" t="s">
        <v>7</v>
      </c>
      <c r="B6" s="6" t="s">
        <v>36</v>
      </c>
      <c r="C6" s="3" t="s">
        <v>64</v>
      </c>
      <c r="D6" s="3" t="s">
        <v>85</v>
      </c>
      <c r="G6" s="9">
        <v>1</v>
      </c>
    </row>
    <row r="7" spans="1:7" ht="135" x14ac:dyDescent="0.25">
      <c r="A7" s="5" t="s">
        <v>8</v>
      </c>
      <c r="B7" s="6" t="s">
        <v>37</v>
      </c>
      <c r="C7" s="3" t="s">
        <v>65</v>
      </c>
      <c r="D7" s="3" t="s">
        <v>86</v>
      </c>
      <c r="G7" s="9">
        <v>1</v>
      </c>
    </row>
    <row r="8" spans="1:7" ht="105" x14ac:dyDescent="0.25">
      <c r="A8" s="5" t="s">
        <v>21</v>
      </c>
      <c r="B8" s="6" t="s">
        <v>45</v>
      </c>
      <c r="C8" s="3" t="s">
        <v>66</v>
      </c>
      <c r="D8" s="3" t="s">
        <v>87</v>
      </c>
      <c r="G8" s="9">
        <v>2</v>
      </c>
    </row>
    <row r="9" spans="1:7" ht="120" x14ac:dyDescent="0.25">
      <c r="A9" s="5" t="s">
        <v>22</v>
      </c>
      <c r="B9" s="6" t="s">
        <v>31</v>
      </c>
      <c r="C9" s="3" t="s">
        <v>67</v>
      </c>
      <c r="D9" s="3" t="s">
        <v>88</v>
      </c>
      <c r="G9" s="9">
        <v>2</v>
      </c>
    </row>
    <row r="10" spans="1:7" ht="120" x14ac:dyDescent="0.25">
      <c r="A10" s="5" t="s">
        <v>23</v>
      </c>
      <c r="B10" s="6" t="s">
        <v>46</v>
      </c>
      <c r="C10" s="3" t="s">
        <v>68</v>
      </c>
      <c r="D10" s="3" t="s">
        <v>89</v>
      </c>
      <c r="G10" s="9">
        <v>3</v>
      </c>
    </row>
    <row r="11" spans="1:7" ht="105" x14ac:dyDescent="0.25">
      <c r="A11" s="5" t="s">
        <v>24</v>
      </c>
      <c r="B11" s="6" t="s">
        <v>47</v>
      </c>
      <c r="C11" s="3" t="s">
        <v>69</v>
      </c>
      <c r="D11" s="3" t="s">
        <v>88</v>
      </c>
      <c r="G11" s="9">
        <v>3</v>
      </c>
    </row>
    <row r="12" spans="1:7" ht="120" x14ac:dyDescent="0.25">
      <c r="A12" s="5" t="s">
        <v>25</v>
      </c>
      <c r="B12" s="6" t="s">
        <v>48</v>
      </c>
      <c r="C12" s="3" t="s">
        <v>70</v>
      </c>
      <c r="D12" s="3" t="s">
        <v>88</v>
      </c>
      <c r="G12" s="9">
        <v>2</v>
      </c>
    </row>
    <row r="13" spans="1:7" ht="120" x14ac:dyDescent="0.25">
      <c r="A13" s="5" t="s">
        <v>26</v>
      </c>
      <c r="B13" s="6" t="s">
        <v>49</v>
      </c>
      <c r="C13" s="3" t="s">
        <v>71</v>
      </c>
      <c r="D13" s="3" t="s">
        <v>90</v>
      </c>
      <c r="G13" s="9">
        <v>1</v>
      </c>
    </row>
    <row r="14" spans="1:7" ht="120" x14ac:dyDescent="0.25">
      <c r="A14" s="5" t="s">
        <v>27</v>
      </c>
      <c r="B14" s="6" t="s">
        <v>32</v>
      </c>
      <c r="C14" s="3" t="s">
        <v>72</v>
      </c>
      <c r="D14" s="3" t="s">
        <v>91</v>
      </c>
      <c r="G14" s="9">
        <v>1</v>
      </c>
    </row>
    <row r="15" spans="1:7" ht="90" x14ac:dyDescent="0.25">
      <c r="A15" s="5" t="s">
        <v>28</v>
      </c>
      <c r="B15" s="6" t="s">
        <v>33</v>
      </c>
      <c r="C15" s="3" t="s">
        <v>73</v>
      </c>
      <c r="D15" s="3" t="s">
        <v>92</v>
      </c>
      <c r="G15" s="9">
        <v>1</v>
      </c>
    </row>
    <row r="16" spans="1:7" ht="90" x14ac:dyDescent="0.25">
      <c r="A16" s="5" t="s">
        <v>38</v>
      </c>
      <c r="B16" s="6" t="s">
        <v>50</v>
      </c>
      <c r="C16" s="3" t="s">
        <v>74</v>
      </c>
      <c r="D16" s="3" t="s">
        <v>91</v>
      </c>
      <c r="G16" s="9">
        <v>1</v>
      </c>
    </row>
    <row r="17" spans="1:7" ht="105" x14ac:dyDescent="0.25">
      <c r="A17" s="5" t="s">
        <v>39</v>
      </c>
      <c r="B17" s="6" t="s">
        <v>34</v>
      </c>
      <c r="C17" s="3" t="s">
        <v>75</v>
      </c>
      <c r="D17" s="3" t="s">
        <v>91</v>
      </c>
      <c r="G17" s="9">
        <v>2</v>
      </c>
    </row>
    <row r="18" spans="1:7" ht="90" x14ac:dyDescent="0.25">
      <c r="A18" s="5" t="s">
        <v>40</v>
      </c>
      <c r="B18" s="6" t="s">
        <v>51</v>
      </c>
      <c r="C18" s="3" t="s">
        <v>76</v>
      </c>
      <c r="D18" s="3" t="s">
        <v>91</v>
      </c>
      <c r="G18" s="9">
        <v>2</v>
      </c>
    </row>
    <row r="19" spans="1:7" ht="120" x14ac:dyDescent="0.25">
      <c r="A19" s="5" t="s">
        <v>41</v>
      </c>
      <c r="B19" s="6" t="s">
        <v>52</v>
      </c>
      <c r="C19" s="3" t="s">
        <v>77</v>
      </c>
      <c r="D19" s="3" t="s">
        <v>93</v>
      </c>
      <c r="G19" s="9">
        <v>1</v>
      </c>
    </row>
    <row r="20" spans="1:7" ht="120" x14ac:dyDescent="0.25">
      <c r="A20" s="5" t="s">
        <v>42</v>
      </c>
      <c r="B20" s="6" t="s">
        <v>53</v>
      </c>
      <c r="C20" s="3" t="s">
        <v>78</v>
      </c>
      <c r="D20" s="3" t="s">
        <v>88</v>
      </c>
      <c r="G20" s="9">
        <v>1</v>
      </c>
    </row>
    <row r="21" spans="1:7" ht="90" x14ac:dyDescent="0.25">
      <c r="A21" s="5" t="s">
        <v>43</v>
      </c>
      <c r="B21" s="7" t="s">
        <v>79</v>
      </c>
      <c r="C21" s="3" t="s">
        <v>80</v>
      </c>
      <c r="D21" s="3" t="s">
        <v>91</v>
      </c>
      <c r="G21" s="9">
        <v>1</v>
      </c>
    </row>
    <row r="22" spans="1:7" ht="135" x14ac:dyDescent="0.25">
      <c r="A22" s="5" t="s">
        <v>44</v>
      </c>
      <c r="B22" s="6" t="s">
        <v>54</v>
      </c>
      <c r="C22" s="3" t="s">
        <v>81</v>
      </c>
      <c r="D22" s="3" t="s">
        <v>91</v>
      </c>
      <c r="G22" s="9">
        <v>2</v>
      </c>
    </row>
    <row r="23" spans="1:7" x14ac:dyDescent="0.25">
      <c r="A23" s="1"/>
    </row>
    <row r="24" spans="1:7" x14ac:dyDescent="0.25">
      <c r="A24" s="1"/>
    </row>
    <row r="25" spans="1:7" x14ac:dyDescent="0.25">
      <c r="A25" s="1"/>
    </row>
    <row r="26" spans="1:7" x14ac:dyDescent="0.25">
      <c r="A26" s="1"/>
    </row>
    <row r="27" spans="1:7" x14ac:dyDescent="0.25">
      <c r="A27" s="1"/>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AL27"/>
  <sheetViews>
    <sheetView zoomScaleNormal="100" workbookViewId="0">
      <selection activeCell="I4" sqref="I4"/>
    </sheetView>
  </sheetViews>
  <sheetFormatPr baseColWidth="10" defaultRowHeight="15" x14ac:dyDescent="0.25"/>
  <cols>
    <col min="1" max="1" width="4.42578125" customWidth="1"/>
    <col min="2" max="2" width="14.140625" customWidth="1"/>
    <col min="3" max="3" width="21.28515625" customWidth="1"/>
    <col min="4" max="4" width="34.28515625" customWidth="1"/>
    <col min="5" max="5" width="17" customWidth="1"/>
    <col min="9" max="9" width="3.5703125" customWidth="1"/>
    <col min="10" max="38" width="3.5703125" bestFit="1" customWidth="1"/>
  </cols>
  <sheetData>
    <row r="2" spans="1:38" ht="18" x14ac:dyDescent="0.35">
      <c r="A2" s="10" t="s">
        <v>56</v>
      </c>
    </row>
    <row r="3" spans="1:38" ht="65.45" customHeight="1" x14ac:dyDescent="0.25">
      <c r="A3" s="14" t="s">
        <v>57</v>
      </c>
      <c r="B3" s="14" t="s">
        <v>151</v>
      </c>
      <c r="C3" s="14" t="s">
        <v>150</v>
      </c>
      <c r="D3" s="14" t="s">
        <v>99</v>
      </c>
      <c r="E3" s="14" t="s">
        <v>152</v>
      </c>
      <c r="F3" s="14" t="s">
        <v>1</v>
      </c>
      <c r="G3" s="14" t="s">
        <v>2</v>
      </c>
      <c r="H3" s="14" t="s">
        <v>154</v>
      </c>
      <c r="I3" s="17">
        <v>45748</v>
      </c>
      <c r="J3" s="17">
        <f>I3+7</f>
        <v>45755</v>
      </c>
      <c r="K3" s="17">
        <f t="shared" ref="K3:AL3" si="0">J3+7</f>
        <v>45762</v>
      </c>
      <c r="L3" s="17">
        <f t="shared" si="0"/>
        <v>45769</v>
      </c>
      <c r="M3" s="17">
        <f t="shared" si="0"/>
        <v>45776</v>
      </c>
      <c r="N3" s="17">
        <f t="shared" si="0"/>
        <v>45783</v>
      </c>
      <c r="O3" s="17">
        <f t="shared" si="0"/>
        <v>45790</v>
      </c>
      <c r="P3" s="17">
        <f t="shared" si="0"/>
        <v>45797</v>
      </c>
      <c r="Q3" s="17">
        <f t="shared" si="0"/>
        <v>45804</v>
      </c>
      <c r="R3" s="17">
        <f t="shared" si="0"/>
        <v>45811</v>
      </c>
      <c r="S3" s="17">
        <f t="shared" si="0"/>
        <v>45818</v>
      </c>
      <c r="T3" s="17">
        <f t="shared" si="0"/>
        <v>45825</v>
      </c>
      <c r="U3" s="17">
        <f t="shared" si="0"/>
        <v>45832</v>
      </c>
      <c r="V3" s="17">
        <f t="shared" si="0"/>
        <v>45839</v>
      </c>
      <c r="W3" s="17">
        <f t="shared" si="0"/>
        <v>45846</v>
      </c>
      <c r="X3" s="17">
        <f t="shared" si="0"/>
        <v>45853</v>
      </c>
      <c r="Y3" s="17">
        <f t="shared" si="0"/>
        <v>45860</v>
      </c>
      <c r="Z3" s="17">
        <f t="shared" si="0"/>
        <v>45867</v>
      </c>
      <c r="AA3" s="17">
        <f t="shared" si="0"/>
        <v>45874</v>
      </c>
      <c r="AB3" s="17">
        <f t="shared" si="0"/>
        <v>45881</v>
      </c>
      <c r="AC3" s="17">
        <f t="shared" si="0"/>
        <v>45888</v>
      </c>
      <c r="AD3" s="17">
        <f t="shared" si="0"/>
        <v>45895</v>
      </c>
      <c r="AE3" s="17">
        <f t="shared" si="0"/>
        <v>45902</v>
      </c>
      <c r="AF3" s="17">
        <f t="shared" si="0"/>
        <v>45909</v>
      </c>
      <c r="AG3" s="17">
        <f t="shared" si="0"/>
        <v>45916</v>
      </c>
      <c r="AH3" s="17">
        <f t="shared" si="0"/>
        <v>45923</v>
      </c>
      <c r="AI3" s="17">
        <f t="shared" si="0"/>
        <v>45930</v>
      </c>
      <c r="AJ3" s="17">
        <f t="shared" si="0"/>
        <v>45937</v>
      </c>
      <c r="AK3" s="17">
        <f t="shared" si="0"/>
        <v>45944</v>
      </c>
      <c r="AL3" s="17">
        <f t="shared" si="0"/>
        <v>45951</v>
      </c>
    </row>
    <row r="4" spans="1:38" ht="75" x14ac:dyDescent="0.25">
      <c r="A4" s="12" t="s">
        <v>5</v>
      </c>
      <c r="B4" s="16" t="s">
        <v>9</v>
      </c>
      <c r="C4" s="15" t="s">
        <v>100</v>
      </c>
      <c r="D4" s="15" t="s">
        <v>119</v>
      </c>
      <c r="E4" s="15" t="s">
        <v>139</v>
      </c>
      <c r="F4" s="13">
        <v>45748</v>
      </c>
      <c r="G4" s="13">
        <v>45755</v>
      </c>
      <c r="H4" s="11">
        <v>1</v>
      </c>
      <c r="I4" s="18" t="s">
        <v>153</v>
      </c>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row>
    <row r="5" spans="1:38" ht="105" x14ac:dyDescent="0.25">
      <c r="A5" s="12" t="s">
        <v>6</v>
      </c>
      <c r="B5" s="16" t="s">
        <v>10</v>
      </c>
      <c r="C5" s="15" t="s">
        <v>101</v>
      </c>
      <c r="D5" s="15" t="s">
        <v>136</v>
      </c>
      <c r="E5" s="15" t="s">
        <v>140</v>
      </c>
      <c r="F5" s="13">
        <f>G4</f>
        <v>45755</v>
      </c>
      <c r="G5" s="13">
        <f>F5+7*H5</f>
        <v>45762</v>
      </c>
      <c r="H5" s="11">
        <v>1</v>
      </c>
      <c r="I5" s="18"/>
      <c r="J5" s="18" t="s">
        <v>153</v>
      </c>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row>
    <row r="6" spans="1:38" ht="105" x14ac:dyDescent="0.25">
      <c r="A6" s="12" t="s">
        <v>7</v>
      </c>
      <c r="B6" s="16" t="s">
        <v>36</v>
      </c>
      <c r="C6" s="15" t="s">
        <v>102</v>
      </c>
      <c r="D6" s="15" t="s">
        <v>120</v>
      </c>
      <c r="E6" s="15" t="s">
        <v>141</v>
      </c>
      <c r="F6" s="13">
        <f>G5</f>
        <v>45762</v>
      </c>
      <c r="G6" s="13">
        <f>F6+7*H6</f>
        <v>45769</v>
      </c>
      <c r="H6" s="11">
        <v>1</v>
      </c>
      <c r="I6" s="18"/>
      <c r="J6" s="18"/>
      <c r="K6" s="18" t="s">
        <v>153</v>
      </c>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row>
    <row r="7" spans="1:38" ht="105" x14ac:dyDescent="0.25">
      <c r="A7" s="12" t="s">
        <v>8</v>
      </c>
      <c r="B7" s="16" t="s">
        <v>37</v>
      </c>
      <c r="C7" s="15" t="s">
        <v>103</v>
      </c>
      <c r="D7" s="15" t="s">
        <v>121</v>
      </c>
      <c r="E7" s="15" t="s">
        <v>142</v>
      </c>
      <c r="F7" s="13">
        <f t="shared" ref="F7:F22" si="1">G6</f>
        <v>45769</v>
      </c>
      <c r="G7" s="13">
        <f t="shared" ref="G7:G22" si="2">F7+7*H7</f>
        <v>45776</v>
      </c>
      <c r="H7" s="11">
        <v>1</v>
      </c>
      <c r="I7" s="18"/>
      <c r="J7" s="18"/>
      <c r="K7" s="18"/>
      <c r="L7" s="18" t="s">
        <v>153</v>
      </c>
      <c r="M7" s="18"/>
      <c r="N7" s="18"/>
      <c r="O7" s="18"/>
      <c r="P7" s="18"/>
      <c r="Q7" s="18"/>
      <c r="R7" s="18"/>
      <c r="S7" s="18"/>
      <c r="T7" s="18"/>
      <c r="U7" s="18"/>
      <c r="V7" s="18"/>
      <c r="W7" s="18"/>
      <c r="X7" s="18"/>
      <c r="Y7" s="18"/>
      <c r="Z7" s="18"/>
      <c r="AA7" s="18"/>
      <c r="AB7" s="18"/>
      <c r="AC7" s="18"/>
      <c r="AD7" s="18"/>
      <c r="AE7" s="18"/>
      <c r="AF7" s="18"/>
      <c r="AG7" s="18"/>
      <c r="AH7" s="18"/>
      <c r="AI7" s="18"/>
      <c r="AJ7" s="18"/>
      <c r="AK7" s="18"/>
      <c r="AL7" s="18"/>
    </row>
    <row r="8" spans="1:38" ht="105" x14ac:dyDescent="0.25">
      <c r="A8" s="12" t="s">
        <v>21</v>
      </c>
      <c r="B8" s="16" t="s">
        <v>45</v>
      </c>
      <c r="C8" s="15" t="s">
        <v>104</v>
      </c>
      <c r="D8" s="15" t="s">
        <v>122</v>
      </c>
      <c r="E8" s="15" t="s">
        <v>143</v>
      </c>
      <c r="F8" s="13">
        <f t="shared" si="1"/>
        <v>45776</v>
      </c>
      <c r="G8" s="13">
        <f t="shared" si="2"/>
        <v>45790</v>
      </c>
      <c r="H8" s="11">
        <v>2</v>
      </c>
      <c r="I8" s="18"/>
      <c r="J8" s="18"/>
      <c r="K8" s="18"/>
      <c r="L8" s="18"/>
      <c r="M8" s="18" t="s">
        <v>153</v>
      </c>
      <c r="N8" s="18" t="s">
        <v>153</v>
      </c>
      <c r="O8" s="18"/>
      <c r="P8" s="18"/>
      <c r="Q8" s="18"/>
      <c r="R8" s="18"/>
      <c r="S8" s="18"/>
      <c r="T8" s="18"/>
      <c r="U8" s="18"/>
      <c r="V8" s="18"/>
      <c r="W8" s="18"/>
      <c r="X8" s="18"/>
      <c r="Y8" s="18"/>
      <c r="Z8" s="18"/>
      <c r="AA8" s="18"/>
      <c r="AB8" s="18"/>
      <c r="AC8" s="18"/>
      <c r="AD8" s="18"/>
      <c r="AE8" s="18"/>
      <c r="AF8" s="18"/>
      <c r="AG8" s="18"/>
      <c r="AH8" s="18"/>
      <c r="AI8" s="18"/>
      <c r="AJ8" s="18"/>
      <c r="AK8" s="18"/>
      <c r="AL8" s="18"/>
    </row>
    <row r="9" spans="1:38" ht="90" x14ac:dyDescent="0.25">
      <c r="A9" s="12" t="s">
        <v>22</v>
      </c>
      <c r="B9" s="16" t="s">
        <v>31</v>
      </c>
      <c r="C9" s="15" t="s">
        <v>105</v>
      </c>
      <c r="D9" s="15" t="s">
        <v>123</v>
      </c>
      <c r="E9" s="15" t="s">
        <v>144</v>
      </c>
      <c r="F9" s="13">
        <f t="shared" si="1"/>
        <v>45790</v>
      </c>
      <c r="G9" s="13">
        <f t="shared" si="2"/>
        <v>45804</v>
      </c>
      <c r="H9" s="11">
        <v>2</v>
      </c>
      <c r="I9" s="18"/>
      <c r="J9" s="18"/>
      <c r="K9" s="18"/>
      <c r="L9" s="18"/>
      <c r="M9" s="18"/>
      <c r="N9" s="18"/>
      <c r="O9" s="18" t="s">
        <v>153</v>
      </c>
      <c r="P9" s="18" t="s">
        <v>153</v>
      </c>
      <c r="Q9" s="18"/>
      <c r="R9" s="18"/>
      <c r="S9" s="18"/>
      <c r="T9" s="18"/>
      <c r="U9" s="18"/>
      <c r="V9" s="18"/>
      <c r="W9" s="18"/>
      <c r="X9" s="18"/>
      <c r="Y9" s="18"/>
      <c r="Z9" s="18"/>
      <c r="AA9" s="18"/>
      <c r="AB9" s="18"/>
      <c r="AC9" s="18"/>
      <c r="AD9" s="18"/>
      <c r="AE9" s="18"/>
      <c r="AF9" s="18"/>
      <c r="AG9" s="18"/>
      <c r="AH9" s="18"/>
      <c r="AI9" s="18"/>
      <c r="AJ9" s="18"/>
      <c r="AK9" s="18"/>
      <c r="AL9" s="18"/>
    </row>
    <row r="10" spans="1:38" ht="105" x14ac:dyDescent="0.25">
      <c r="A10" s="12" t="s">
        <v>23</v>
      </c>
      <c r="B10" s="16" t="s">
        <v>94</v>
      </c>
      <c r="C10" s="15" t="s">
        <v>106</v>
      </c>
      <c r="D10" s="15" t="s">
        <v>124</v>
      </c>
      <c r="E10" s="15" t="s">
        <v>145</v>
      </c>
      <c r="F10" s="13">
        <f t="shared" si="1"/>
        <v>45804</v>
      </c>
      <c r="G10" s="13">
        <f t="shared" si="2"/>
        <v>45825</v>
      </c>
      <c r="H10" s="11">
        <v>3</v>
      </c>
      <c r="I10" s="18"/>
      <c r="J10" s="18"/>
      <c r="K10" s="18"/>
      <c r="L10" s="18"/>
      <c r="M10" s="18"/>
      <c r="N10" s="18"/>
      <c r="O10" s="18"/>
      <c r="P10" s="18"/>
      <c r="Q10" s="18" t="s">
        <v>153</v>
      </c>
      <c r="R10" s="18" t="s">
        <v>153</v>
      </c>
      <c r="S10" s="18" t="s">
        <v>153</v>
      </c>
      <c r="T10" s="18"/>
      <c r="U10" s="18"/>
      <c r="V10" s="18"/>
      <c r="W10" s="18"/>
      <c r="X10" s="18"/>
      <c r="Y10" s="18"/>
      <c r="Z10" s="18"/>
      <c r="AA10" s="18"/>
      <c r="AB10" s="18"/>
      <c r="AC10" s="18"/>
      <c r="AD10" s="18"/>
      <c r="AE10" s="18"/>
      <c r="AF10" s="18"/>
      <c r="AG10" s="18"/>
      <c r="AH10" s="18"/>
      <c r="AI10" s="18"/>
      <c r="AJ10" s="18"/>
      <c r="AK10" s="18"/>
      <c r="AL10" s="18"/>
    </row>
    <row r="11" spans="1:38" ht="90" x14ac:dyDescent="0.25">
      <c r="A11" s="12" t="s">
        <v>24</v>
      </c>
      <c r="B11" s="16" t="s">
        <v>95</v>
      </c>
      <c r="C11" s="15" t="s">
        <v>107</v>
      </c>
      <c r="D11" s="15" t="s">
        <v>125</v>
      </c>
      <c r="E11" s="15" t="s">
        <v>144</v>
      </c>
      <c r="F11" s="13">
        <f t="shared" si="1"/>
        <v>45825</v>
      </c>
      <c r="G11" s="13">
        <f t="shared" si="2"/>
        <v>45846</v>
      </c>
      <c r="H11" s="11">
        <v>3</v>
      </c>
      <c r="I11" s="18"/>
      <c r="J11" s="18"/>
      <c r="K11" s="18"/>
      <c r="L11" s="18"/>
      <c r="M11" s="18"/>
      <c r="N11" s="18"/>
      <c r="O11" s="18"/>
      <c r="P11" s="18"/>
      <c r="Q11" s="18"/>
      <c r="R11" s="18"/>
      <c r="S11" s="18"/>
      <c r="T11" s="18" t="s">
        <v>153</v>
      </c>
      <c r="U11" s="18" t="s">
        <v>153</v>
      </c>
      <c r="V11" s="18" t="s">
        <v>153</v>
      </c>
      <c r="W11" s="18"/>
      <c r="X11" s="18"/>
      <c r="Y11" s="18"/>
      <c r="Z11" s="18"/>
      <c r="AA11" s="18"/>
      <c r="AB11" s="18"/>
      <c r="AC11" s="18"/>
      <c r="AD11" s="18"/>
      <c r="AE11" s="18"/>
      <c r="AF11" s="18"/>
      <c r="AG11" s="18"/>
      <c r="AH11" s="18"/>
      <c r="AI11" s="18"/>
      <c r="AJ11" s="18"/>
      <c r="AK11" s="18"/>
      <c r="AL11" s="18"/>
    </row>
    <row r="12" spans="1:38" ht="105" x14ac:dyDescent="0.25">
      <c r="A12" s="12" t="s">
        <v>25</v>
      </c>
      <c r="B12" s="16" t="s">
        <v>48</v>
      </c>
      <c r="C12" s="15" t="s">
        <v>108</v>
      </c>
      <c r="D12" s="15" t="s">
        <v>126</v>
      </c>
      <c r="E12" s="15" t="s">
        <v>144</v>
      </c>
      <c r="F12" s="13">
        <f t="shared" si="1"/>
        <v>45846</v>
      </c>
      <c r="G12" s="13">
        <f t="shared" si="2"/>
        <v>45860</v>
      </c>
      <c r="H12" s="11">
        <v>2</v>
      </c>
      <c r="I12" s="18"/>
      <c r="J12" s="18"/>
      <c r="K12" s="18"/>
      <c r="L12" s="18"/>
      <c r="M12" s="18"/>
      <c r="N12" s="18"/>
      <c r="O12" s="18"/>
      <c r="P12" s="18"/>
      <c r="Q12" s="18"/>
      <c r="R12" s="18"/>
      <c r="S12" s="18"/>
      <c r="T12" s="18"/>
      <c r="U12" s="18"/>
      <c r="V12" s="18"/>
      <c r="W12" s="18" t="s">
        <v>153</v>
      </c>
      <c r="X12" s="18" t="s">
        <v>153</v>
      </c>
      <c r="Y12" s="18"/>
      <c r="Z12" s="18"/>
      <c r="AA12" s="18"/>
      <c r="AB12" s="18"/>
      <c r="AC12" s="18"/>
      <c r="AD12" s="18"/>
      <c r="AE12" s="18"/>
      <c r="AF12" s="18"/>
      <c r="AG12" s="18"/>
      <c r="AH12" s="18"/>
      <c r="AI12" s="18"/>
      <c r="AJ12" s="18"/>
      <c r="AK12" s="18"/>
      <c r="AL12" s="18"/>
    </row>
    <row r="13" spans="1:38" ht="120" x14ac:dyDescent="0.25">
      <c r="A13" s="12" t="s">
        <v>26</v>
      </c>
      <c r="B13" s="16" t="s">
        <v>49</v>
      </c>
      <c r="C13" s="15" t="s">
        <v>109</v>
      </c>
      <c r="D13" s="15" t="s">
        <v>127</v>
      </c>
      <c r="E13" s="15" t="s">
        <v>146</v>
      </c>
      <c r="F13" s="13">
        <f t="shared" si="1"/>
        <v>45860</v>
      </c>
      <c r="G13" s="13">
        <f t="shared" si="2"/>
        <v>45867</v>
      </c>
      <c r="H13" s="11">
        <v>1</v>
      </c>
      <c r="I13" s="18"/>
      <c r="J13" s="18"/>
      <c r="K13" s="18"/>
      <c r="L13" s="18"/>
      <c r="M13" s="18"/>
      <c r="N13" s="18"/>
      <c r="O13" s="18"/>
      <c r="P13" s="18"/>
      <c r="Q13" s="18"/>
      <c r="R13" s="18"/>
      <c r="S13" s="18"/>
      <c r="T13" s="18"/>
      <c r="U13" s="18"/>
      <c r="V13" s="18"/>
      <c r="W13" s="18"/>
      <c r="X13" s="18"/>
      <c r="Y13" s="18" t="s">
        <v>153</v>
      </c>
      <c r="Z13" s="18"/>
      <c r="AA13" s="18"/>
      <c r="AB13" s="18"/>
      <c r="AC13" s="18"/>
      <c r="AD13" s="18"/>
      <c r="AE13" s="18"/>
      <c r="AF13" s="18"/>
      <c r="AG13" s="18"/>
      <c r="AH13" s="18"/>
      <c r="AI13" s="18"/>
      <c r="AJ13" s="18"/>
      <c r="AK13" s="18"/>
      <c r="AL13" s="18"/>
    </row>
    <row r="14" spans="1:38" ht="90" x14ac:dyDescent="0.25">
      <c r="A14" s="12" t="s">
        <v>27</v>
      </c>
      <c r="B14" s="16" t="s">
        <v>96</v>
      </c>
      <c r="C14" s="15" t="s">
        <v>110</v>
      </c>
      <c r="D14" s="15" t="s">
        <v>128</v>
      </c>
      <c r="E14" s="15" t="s">
        <v>147</v>
      </c>
      <c r="F14" s="13">
        <f t="shared" si="1"/>
        <v>45867</v>
      </c>
      <c r="G14" s="13">
        <f t="shared" si="2"/>
        <v>45874</v>
      </c>
      <c r="H14" s="11">
        <v>1</v>
      </c>
      <c r="I14" s="18"/>
      <c r="J14" s="18"/>
      <c r="K14" s="18"/>
      <c r="L14" s="18"/>
      <c r="M14" s="18"/>
      <c r="N14" s="18"/>
      <c r="O14" s="18"/>
      <c r="P14" s="18"/>
      <c r="Q14" s="18"/>
      <c r="R14" s="18"/>
      <c r="S14" s="18"/>
      <c r="T14" s="18"/>
      <c r="U14" s="18"/>
      <c r="V14" s="18"/>
      <c r="W14" s="18"/>
      <c r="X14" s="18"/>
      <c r="Y14" s="18"/>
      <c r="Z14" s="18" t="s">
        <v>153</v>
      </c>
      <c r="AA14" s="18"/>
      <c r="AB14" s="18"/>
      <c r="AC14" s="18"/>
      <c r="AD14" s="18"/>
      <c r="AE14" s="18"/>
      <c r="AF14" s="18"/>
      <c r="AG14" s="18"/>
      <c r="AH14" s="18"/>
      <c r="AI14" s="18"/>
      <c r="AJ14" s="18"/>
      <c r="AK14" s="18"/>
      <c r="AL14" s="18"/>
    </row>
    <row r="15" spans="1:38" ht="75" x14ac:dyDescent="0.25">
      <c r="A15" s="12" t="s">
        <v>28</v>
      </c>
      <c r="B15" s="16" t="s">
        <v>97</v>
      </c>
      <c r="C15" s="15" t="s">
        <v>111</v>
      </c>
      <c r="D15" s="15" t="s">
        <v>129</v>
      </c>
      <c r="E15" s="15" t="s">
        <v>148</v>
      </c>
      <c r="F15" s="13">
        <f t="shared" si="1"/>
        <v>45874</v>
      </c>
      <c r="G15" s="13">
        <f t="shared" si="2"/>
        <v>45881</v>
      </c>
      <c r="H15" s="11">
        <v>1</v>
      </c>
      <c r="I15" s="18"/>
      <c r="J15" s="18"/>
      <c r="K15" s="18"/>
      <c r="L15" s="18"/>
      <c r="M15" s="18"/>
      <c r="N15" s="18"/>
      <c r="O15" s="18"/>
      <c r="P15" s="18"/>
      <c r="Q15" s="18"/>
      <c r="R15" s="18"/>
      <c r="S15" s="18"/>
      <c r="T15" s="18"/>
      <c r="U15" s="18"/>
      <c r="V15" s="18"/>
      <c r="W15" s="18"/>
      <c r="X15" s="18"/>
      <c r="Y15" s="18"/>
      <c r="Z15" s="18"/>
      <c r="AA15" s="18" t="s">
        <v>153</v>
      </c>
      <c r="AB15" s="18"/>
      <c r="AC15" s="18"/>
      <c r="AD15" s="18"/>
      <c r="AE15" s="18"/>
      <c r="AF15" s="18"/>
      <c r="AG15" s="18"/>
      <c r="AH15" s="18"/>
      <c r="AI15" s="18"/>
      <c r="AJ15" s="18"/>
      <c r="AK15" s="18"/>
      <c r="AL15" s="18"/>
    </row>
    <row r="16" spans="1:38" ht="90" x14ac:dyDescent="0.25">
      <c r="A16" s="12" t="s">
        <v>38</v>
      </c>
      <c r="B16" s="16" t="s">
        <v>50</v>
      </c>
      <c r="C16" s="15" t="s">
        <v>112</v>
      </c>
      <c r="D16" s="15" t="s">
        <v>130</v>
      </c>
      <c r="E16" s="15" t="s">
        <v>147</v>
      </c>
      <c r="F16" s="13">
        <f t="shared" si="1"/>
        <v>45881</v>
      </c>
      <c r="G16" s="13">
        <f t="shared" si="2"/>
        <v>45888</v>
      </c>
      <c r="H16" s="11">
        <v>1</v>
      </c>
      <c r="I16" s="18"/>
      <c r="J16" s="18"/>
      <c r="K16" s="18"/>
      <c r="L16" s="18"/>
      <c r="M16" s="18"/>
      <c r="N16" s="18"/>
      <c r="O16" s="18"/>
      <c r="P16" s="18"/>
      <c r="Q16" s="18"/>
      <c r="R16" s="18"/>
      <c r="S16" s="18"/>
      <c r="T16" s="18"/>
      <c r="U16" s="18"/>
      <c r="V16" s="18"/>
      <c r="W16" s="18"/>
      <c r="X16" s="18"/>
      <c r="Y16" s="18"/>
      <c r="Z16" s="18"/>
      <c r="AA16" s="18"/>
      <c r="AB16" s="18" t="s">
        <v>153</v>
      </c>
      <c r="AC16" s="18"/>
      <c r="AD16" s="18"/>
      <c r="AE16" s="18"/>
      <c r="AF16" s="18"/>
      <c r="AG16" s="18"/>
      <c r="AH16" s="18"/>
      <c r="AI16" s="18"/>
      <c r="AJ16" s="18"/>
      <c r="AK16" s="18"/>
      <c r="AL16" s="18"/>
    </row>
    <row r="17" spans="1:38" ht="75" x14ac:dyDescent="0.25">
      <c r="A17" s="12" t="s">
        <v>39</v>
      </c>
      <c r="B17" s="16" t="s">
        <v>98</v>
      </c>
      <c r="C17" s="15" t="s">
        <v>113</v>
      </c>
      <c r="D17" s="15" t="s">
        <v>131</v>
      </c>
      <c r="E17" s="15" t="s">
        <v>147</v>
      </c>
      <c r="F17" s="13">
        <f t="shared" si="1"/>
        <v>45888</v>
      </c>
      <c r="G17" s="13">
        <f t="shared" si="2"/>
        <v>45902</v>
      </c>
      <c r="H17" s="11">
        <v>2</v>
      </c>
      <c r="I17" s="18"/>
      <c r="J17" s="18"/>
      <c r="K17" s="18"/>
      <c r="L17" s="18"/>
      <c r="M17" s="18"/>
      <c r="N17" s="18"/>
      <c r="O17" s="18"/>
      <c r="P17" s="18"/>
      <c r="Q17" s="18"/>
      <c r="R17" s="18"/>
      <c r="S17" s="18"/>
      <c r="T17" s="18"/>
      <c r="U17" s="18"/>
      <c r="V17" s="18"/>
      <c r="W17" s="18"/>
      <c r="X17" s="18"/>
      <c r="Y17" s="18"/>
      <c r="Z17" s="18"/>
      <c r="AA17" s="18"/>
      <c r="AB17" s="18"/>
      <c r="AC17" s="18" t="s">
        <v>153</v>
      </c>
      <c r="AD17" s="18" t="s">
        <v>153</v>
      </c>
      <c r="AE17" s="18"/>
      <c r="AF17" s="18"/>
      <c r="AG17" s="18"/>
      <c r="AH17" s="18"/>
      <c r="AI17" s="18"/>
      <c r="AJ17" s="18"/>
      <c r="AK17" s="18"/>
      <c r="AL17" s="18"/>
    </row>
    <row r="18" spans="1:38" ht="90" x14ac:dyDescent="0.25">
      <c r="A18" s="12" t="s">
        <v>40</v>
      </c>
      <c r="B18" s="16" t="s">
        <v>51</v>
      </c>
      <c r="C18" s="15" t="s">
        <v>114</v>
      </c>
      <c r="D18" s="15" t="s">
        <v>132</v>
      </c>
      <c r="E18" s="15" t="s">
        <v>147</v>
      </c>
      <c r="F18" s="13">
        <f t="shared" si="1"/>
        <v>45902</v>
      </c>
      <c r="G18" s="13">
        <f t="shared" si="2"/>
        <v>45916</v>
      </c>
      <c r="H18" s="11">
        <v>2</v>
      </c>
      <c r="I18" s="18"/>
      <c r="J18" s="18"/>
      <c r="K18" s="18"/>
      <c r="L18" s="18"/>
      <c r="M18" s="18"/>
      <c r="N18" s="18"/>
      <c r="O18" s="18"/>
      <c r="P18" s="18"/>
      <c r="Q18" s="18"/>
      <c r="R18" s="18"/>
      <c r="S18" s="18"/>
      <c r="T18" s="18"/>
      <c r="U18" s="18"/>
      <c r="V18" s="18"/>
      <c r="W18" s="18"/>
      <c r="X18" s="18"/>
      <c r="Y18" s="18"/>
      <c r="Z18" s="18"/>
      <c r="AA18" s="18"/>
      <c r="AB18" s="18"/>
      <c r="AC18" s="18"/>
      <c r="AD18" s="18"/>
      <c r="AE18" s="18" t="s">
        <v>153</v>
      </c>
      <c r="AF18" s="18" t="s">
        <v>153</v>
      </c>
      <c r="AG18" s="18"/>
      <c r="AH18" s="18"/>
      <c r="AI18" s="18"/>
      <c r="AJ18" s="18"/>
      <c r="AK18" s="18"/>
      <c r="AL18" s="18"/>
    </row>
    <row r="19" spans="1:38" ht="90" x14ac:dyDescent="0.25">
      <c r="A19" s="12" t="s">
        <v>41</v>
      </c>
      <c r="B19" s="16" t="s">
        <v>138</v>
      </c>
      <c r="C19" s="15" t="s">
        <v>115</v>
      </c>
      <c r="D19" s="15" t="s">
        <v>137</v>
      </c>
      <c r="E19" s="15" t="s">
        <v>149</v>
      </c>
      <c r="F19" s="13">
        <f t="shared" si="1"/>
        <v>45916</v>
      </c>
      <c r="G19" s="13">
        <f t="shared" si="2"/>
        <v>45923</v>
      </c>
      <c r="H19" s="11">
        <v>1</v>
      </c>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t="s">
        <v>153</v>
      </c>
      <c r="AH19" s="18"/>
      <c r="AI19" s="18"/>
      <c r="AJ19" s="18"/>
      <c r="AK19" s="18"/>
      <c r="AL19" s="18"/>
    </row>
    <row r="20" spans="1:38" ht="120" x14ac:dyDescent="0.25">
      <c r="A20" s="12" t="s">
        <v>42</v>
      </c>
      <c r="B20" s="16" t="s">
        <v>53</v>
      </c>
      <c r="C20" s="15" t="s">
        <v>116</v>
      </c>
      <c r="D20" s="15" t="s">
        <v>133</v>
      </c>
      <c r="E20" s="15" t="s">
        <v>144</v>
      </c>
      <c r="F20" s="13">
        <f t="shared" si="1"/>
        <v>45923</v>
      </c>
      <c r="G20" s="13">
        <f t="shared" si="2"/>
        <v>45930</v>
      </c>
      <c r="H20" s="11">
        <v>1</v>
      </c>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t="s">
        <v>153</v>
      </c>
      <c r="AI20" s="18"/>
      <c r="AJ20" s="18"/>
      <c r="AK20" s="18"/>
      <c r="AL20" s="18"/>
    </row>
    <row r="21" spans="1:38" ht="90" x14ac:dyDescent="0.25">
      <c r="A21" s="12" t="s">
        <v>43</v>
      </c>
      <c r="B21" s="16" t="s">
        <v>79</v>
      </c>
      <c r="C21" s="15" t="s">
        <v>117</v>
      </c>
      <c r="D21" s="15" t="s">
        <v>134</v>
      </c>
      <c r="E21" s="15" t="s">
        <v>147</v>
      </c>
      <c r="F21" s="13">
        <f t="shared" si="1"/>
        <v>45930</v>
      </c>
      <c r="G21" s="13">
        <f t="shared" si="2"/>
        <v>45937</v>
      </c>
      <c r="H21" s="11">
        <v>1</v>
      </c>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t="s">
        <v>153</v>
      </c>
      <c r="AJ21" s="18"/>
      <c r="AK21" s="18"/>
      <c r="AL21" s="18"/>
    </row>
    <row r="22" spans="1:38" ht="120" x14ac:dyDescent="0.25">
      <c r="A22" s="12" t="s">
        <v>44</v>
      </c>
      <c r="B22" s="16" t="s">
        <v>54</v>
      </c>
      <c r="C22" s="15" t="s">
        <v>118</v>
      </c>
      <c r="D22" s="15" t="s">
        <v>135</v>
      </c>
      <c r="E22" s="15" t="s">
        <v>147</v>
      </c>
      <c r="F22" s="13">
        <f t="shared" si="1"/>
        <v>45937</v>
      </c>
      <c r="G22" s="13">
        <f t="shared" si="2"/>
        <v>45951</v>
      </c>
      <c r="H22" s="11">
        <v>2</v>
      </c>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t="s">
        <v>153</v>
      </c>
      <c r="AK22" s="18" t="s">
        <v>153</v>
      </c>
      <c r="AL22" s="18"/>
    </row>
    <row r="23" spans="1:38" x14ac:dyDescent="0.25">
      <c r="A23" s="1"/>
    </row>
    <row r="24" spans="1:38" x14ac:dyDescent="0.25">
      <c r="A24" s="1"/>
    </row>
    <row r="25" spans="1:38" x14ac:dyDescent="0.25">
      <c r="A25" s="1"/>
    </row>
    <row r="26" spans="1:38" x14ac:dyDescent="0.25">
      <c r="A26" s="1"/>
    </row>
    <row r="27" spans="1:38" x14ac:dyDescent="0.25">
      <c r="A27" s="1"/>
    </row>
  </sheetData>
  <conditionalFormatting sqref="I4:AL22">
    <cfRule type="cellIs" dxfId="0" priority="1" operator="equal">
      <formula>"x"</formula>
    </cfRule>
  </conditionalFormatting>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pageSetUpPr fitToPage="1"/>
  </sheetPr>
  <dimension ref="B2:FJ69"/>
  <sheetViews>
    <sheetView tabSelected="1" zoomScale="130" zoomScaleNormal="130" workbookViewId="0">
      <selection activeCell="G13" sqref="G13"/>
    </sheetView>
  </sheetViews>
  <sheetFormatPr baseColWidth="10" defaultRowHeight="15" x14ac:dyDescent="0.25"/>
  <cols>
    <col min="1" max="1" width="6.7109375" customWidth="1"/>
    <col min="2" max="2" width="4.42578125" customWidth="1"/>
    <col min="3" max="3" width="87.42578125" customWidth="1"/>
    <col min="4" max="4" width="10.140625" customWidth="1"/>
    <col min="5" max="5" width="13.5703125" customWidth="1"/>
    <col min="6" max="7" width="13" customWidth="1"/>
    <col min="8" max="8" width="10.85546875" customWidth="1"/>
    <col min="9" max="166" width="1.140625" customWidth="1"/>
  </cols>
  <sheetData>
    <row r="2" spans="2:166" ht="18.75" x14ac:dyDescent="0.3">
      <c r="B2" s="10"/>
    </row>
    <row r="3" spans="2:166" ht="65.45" customHeight="1" x14ac:dyDescent="0.25">
      <c r="B3" s="14" t="s">
        <v>57</v>
      </c>
      <c r="C3" s="20" t="s">
        <v>151</v>
      </c>
      <c r="D3" s="14" t="s">
        <v>158</v>
      </c>
      <c r="E3" s="14" t="s">
        <v>222</v>
      </c>
      <c r="F3" s="14" t="s">
        <v>1</v>
      </c>
      <c r="G3" s="14" t="s">
        <v>2</v>
      </c>
      <c r="H3" s="14" t="s">
        <v>157</v>
      </c>
      <c r="I3" s="21">
        <v>45782</v>
      </c>
      <c r="J3" s="32">
        <f>I3+1</f>
        <v>45783</v>
      </c>
      <c r="K3" s="32">
        <f t="shared" ref="K3:BP3" si="0">J3+1</f>
        <v>45784</v>
      </c>
      <c r="L3" s="32">
        <f t="shared" si="0"/>
        <v>45785</v>
      </c>
      <c r="M3" s="32">
        <f t="shared" si="0"/>
        <v>45786</v>
      </c>
      <c r="N3" s="32">
        <f t="shared" si="0"/>
        <v>45787</v>
      </c>
      <c r="O3" s="32">
        <f t="shared" si="0"/>
        <v>45788</v>
      </c>
      <c r="P3" s="32">
        <f t="shared" si="0"/>
        <v>45789</v>
      </c>
      <c r="Q3" s="32">
        <f t="shared" si="0"/>
        <v>45790</v>
      </c>
      <c r="R3" s="32">
        <f t="shared" si="0"/>
        <v>45791</v>
      </c>
      <c r="S3" s="32">
        <f t="shared" si="0"/>
        <v>45792</v>
      </c>
      <c r="T3" s="32">
        <f t="shared" si="0"/>
        <v>45793</v>
      </c>
      <c r="U3" s="32">
        <f t="shared" si="0"/>
        <v>45794</v>
      </c>
      <c r="V3" s="32">
        <f t="shared" si="0"/>
        <v>45795</v>
      </c>
      <c r="W3" s="32">
        <f t="shared" si="0"/>
        <v>45796</v>
      </c>
      <c r="X3" s="32">
        <f t="shared" si="0"/>
        <v>45797</v>
      </c>
      <c r="Y3" s="32">
        <f t="shared" si="0"/>
        <v>45798</v>
      </c>
      <c r="Z3" s="32">
        <f t="shared" si="0"/>
        <v>45799</v>
      </c>
      <c r="AA3" s="32">
        <f t="shared" si="0"/>
        <v>45800</v>
      </c>
      <c r="AB3" s="32">
        <f t="shared" si="0"/>
        <v>45801</v>
      </c>
      <c r="AC3" s="32">
        <f t="shared" si="0"/>
        <v>45802</v>
      </c>
      <c r="AD3" s="32">
        <f t="shared" si="0"/>
        <v>45803</v>
      </c>
      <c r="AE3" s="32">
        <f t="shared" si="0"/>
        <v>45804</v>
      </c>
      <c r="AF3" s="32">
        <f t="shared" si="0"/>
        <v>45805</v>
      </c>
      <c r="AG3" s="32">
        <f t="shared" si="0"/>
        <v>45806</v>
      </c>
      <c r="AH3" s="32">
        <f t="shared" si="0"/>
        <v>45807</v>
      </c>
      <c r="AI3" s="32">
        <f t="shared" si="0"/>
        <v>45808</v>
      </c>
      <c r="AJ3" s="32">
        <f t="shared" si="0"/>
        <v>45809</v>
      </c>
      <c r="AK3" s="32">
        <f t="shared" si="0"/>
        <v>45810</v>
      </c>
      <c r="AL3" s="32">
        <f t="shared" si="0"/>
        <v>45811</v>
      </c>
      <c r="AM3" s="32">
        <f t="shared" si="0"/>
        <v>45812</v>
      </c>
      <c r="AN3" s="32">
        <f t="shared" si="0"/>
        <v>45813</v>
      </c>
      <c r="AO3" s="32">
        <f t="shared" si="0"/>
        <v>45814</v>
      </c>
      <c r="AP3" s="32">
        <f t="shared" si="0"/>
        <v>45815</v>
      </c>
      <c r="AQ3" s="32">
        <f t="shared" si="0"/>
        <v>45816</v>
      </c>
      <c r="AR3" s="32">
        <f t="shared" si="0"/>
        <v>45817</v>
      </c>
      <c r="AS3" s="32">
        <f t="shared" si="0"/>
        <v>45818</v>
      </c>
      <c r="AT3" s="32">
        <f t="shared" si="0"/>
        <v>45819</v>
      </c>
      <c r="AU3" s="32">
        <f t="shared" si="0"/>
        <v>45820</v>
      </c>
      <c r="AV3" s="32">
        <f t="shared" si="0"/>
        <v>45821</v>
      </c>
      <c r="AW3" s="32">
        <f t="shared" si="0"/>
        <v>45822</v>
      </c>
      <c r="AX3" s="32">
        <f t="shared" si="0"/>
        <v>45823</v>
      </c>
      <c r="AY3" s="32">
        <f t="shared" si="0"/>
        <v>45824</v>
      </c>
      <c r="AZ3" s="32">
        <f t="shared" si="0"/>
        <v>45825</v>
      </c>
      <c r="BA3" s="32">
        <f t="shared" si="0"/>
        <v>45826</v>
      </c>
      <c r="BB3" s="32">
        <f t="shared" si="0"/>
        <v>45827</v>
      </c>
      <c r="BC3" s="32">
        <f t="shared" si="0"/>
        <v>45828</v>
      </c>
      <c r="BD3" s="32">
        <f t="shared" si="0"/>
        <v>45829</v>
      </c>
      <c r="BE3" s="32">
        <f t="shared" si="0"/>
        <v>45830</v>
      </c>
      <c r="BF3" s="32">
        <f t="shared" si="0"/>
        <v>45831</v>
      </c>
      <c r="BG3" s="32">
        <f t="shared" si="0"/>
        <v>45832</v>
      </c>
      <c r="BH3" s="32">
        <f t="shared" si="0"/>
        <v>45833</v>
      </c>
      <c r="BI3" s="32">
        <f t="shared" si="0"/>
        <v>45834</v>
      </c>
      <c r="BJ3" s="32">
        <f t="shared" si="0"/>
        <v>45835</v>
      </c>
      <c r="BK3" s="32">
        <f t="shared" si="0"/>
        <v>45836</v>
      </c>
      <c r="BL3" s="32">
        <f t="shared" si="0"/>
        <v>45837</v>
      </c>
      <c r="BM3" s="32">
        <f t="shared" si="0"/>
        <v>45838</v>
      </c>
      <c r="BN3" s="32">
        <f t="shared" si="0"/>
        <v>45839</v>
      </c>
      <c r="BO3" s="32">
        <f t="shared" ref="BO3" si="1">BN3+1</f>
        <v>45840</v>
      </c>
      <c r="BP3" s="32">
        <f t="shared" si="0"/>
        <v>45841</v>
      </c>
      <c r="BQ3" s="32">
        <f t="shared" ref="BQ3:DF3" si="2">BP3+1</f>
        <v>45842</v>
      </c>
      <c r="BR3" s="32">
        <f t="shared" si="2"/>
        <v>45843</v>
      </c>
      <c r="BS3" s="32">
        <f t="shared" si="2"/>
        <v>45844</v>
      </c>
      <c r="BT3" s="32">
        <f t="shared" si="2"/>
        <v>45845</v>
      </c>
      <c r="BU3" s="32">
        <f t="shared" si="2"/>
        <v>45846</v>
      </c>
      <c r="BV3" s="32">
        <f t="shared" si="2"/>
        <v>45847</v>
      </c>
      <c r="BW3" s="32">
        <f t="shared" si="2"/>
        <v>45848</v>
      </c>
      <c r="BX3" s="32">
        <f t="shared" si="2"/>
        <v>45849</v>
      </c>
      <c r="BY3" s="32">
        <f t="shared" si="2"/>
        <v>45850</v>
      </c>
      <c r="BZ3" s="32">
        <f t="shared" si="2"/>
        <v>45851</v>
      </c>
      <c r="CA3" s="32">
        <f t="shared" si="2"/>
        <v>45852</v>
      </c>
      <c r="CB3" s="32">
        <f t="shared" si="2"/>
        <v>45853</v>
      </c>
      <c r="CC3" s="32">
        <f t="shared" si="2"/>
        <v>45854</v>
      </c>
      <c r="CD3" s="32">
        <f t="shared" si="2"/>
        <v>45855</v>
      </c>
      <c r="CE3" s="32">
        <f t="shared" si="2"/>
        <v>45856</v>
      </c>
      <c r="CF3" s="32">
        <f t="shared" si="2"/>
        <v>45857</v>
      </c>
      <c r="CG3" s="32">
        <f t="shared" si="2"/>
        <v>45858</v>
      </c>
      <c r="CH3" s="32">
        <f t="shared" si="2"/>
        <v>45859</v>
      </c>
      <c r="CI3" s="32">
        <f t="shared" si="2"/>
        <v>45860</v>
      </c>
      <c r="CJ3" s="32">
        <f t="shared" si="2"/>
        <v>45861</v>
      </c>
      <c r="CK3" s="32">
        <f t="shared" si="2"/>
        <v>45862</v>
      </c>
      <c r="CL3" s="32">
        <f t="shared" si="2"/>
        <v>45863</v>
      </c>
      <c r="CM3" s="32">
        <f t="shared" si="2"/>
        <v>45864</v>
      </c>
      <c r="CN3" s="32">
        <f t="shared" si="2"/>
        <v>45865</v>
      </c>
      <c r="CO3" s="32">
        <f t="shared" si="2"/>
        <v>45866</v>
      </c>
      <c r="CP3" s="32">
        <f t="shared" si="2"/>
        <v>45867</v>
      </c>
      <c r="CQ3" s="32">
        <f t="shared" si="2"/>
        <v>45868</v>
      </c>
      <c r="CR3" s="32">
        <f t="shared" si="2"/>
        <v>45869</v>
      </c>
      <c r="CS3" s="32">
        <f t="shared" si="2"/>
        <v>45870</v>
      </c>
      <c r="CT3" s="32">
        <f t="shared" si="2"/>
        <v>45871</v>
      </c>
      <c r="CU3" s="32">
        <f t="shared" si="2"/>
        <v>45872</v>
      </c>
      <c r="CV3" s="32">
        <f t="shared" si="2"/>
        <v>45873</v>
      </c>
      <c r="CW3" s="32">
        <f t="shared" si="2"/>
        <v>45874</v>
      </c>
      <c r="CX3" s="32">
        <f t="shared" si="2"/>
        <v>45875</v>
      </c>
      <c r="CY3" s="32">
        <f t="shared" si="2"/>
        <v>45876</v>
      </c>
      <c r="CZ3" s="32">
        <f t="shared" si="2"/>
        <v>45877</v>
      </c>
      <c r="DA3" s="32">
        <f t="shared" si="2"/>
        <v>45878</v>
      </c>
      <c r="DB3" s="32">
        <f t="shared" si="2"/>
        <v>45879</v>
      </c>
      <c r="DC3" s="32">
        <f t="shared" si="2"/>
        <v>45880</v>
      </c>
      <c r="DD3" s="32">
        <f t="shared" si="2"/>
        <v>45881</v>
      </c>
      <c r="DE3" s="32">
        <f t="shared" si="2"/>
        <v>45882</v>
      </c>
      <c r="DF3" s="32">
        <f t="shared" si="2"/>
        <v>45883</v>
      </c>
      <c r="DG3" s="32">
        <f t="shared" ref="DG3:DU3" si="3">DF3+1</f>
        <v>45884</v>
      </c>
      <c r="DH3" s="32">
        <f t="shared" si="3"/>
        <v>45885</v>
      </c>
      <c r="DI3" s="32">
        <f t="shared" si="3"/>
        <v>45886</v>
      </c>
      <c r="DJ3" s="32">
        <f t="shared" si="3"/>
        <v>45887</v>
      </c>
      <c r="DK3" s="32">
        <f t="shared" si="3"/>
        <v>45888</v>
      </c>
      <c r="DL3" s="32">
        <f t="shared" si="3"/>
        <v>45889</v>
      </c>
      <c r="DM3" s="32">
        <f t="shared" si="3"/>
        <v>45890</v>
      </c>
      <c r="DN3" s="32">
        <f t="shared" si="3"/>
        <v>45891</v>
      </c>
      <c r="DO3" s="32">
        <f t="shared" si="3"/>
        <v>45892</v>
      </c>
      <c r="DP3" s="32">
        <f t="shared" si="3"/>
        <v>45893</v>
      </c>
      <c r="DQ3" s="32">
        <f t="shared" si="3"/>
        <v>45894</v>
      </c>
      <c r="DR3" s="32">
        <f t="shared" si="3"/>
        <v>45895</v>
      </c>
      <c r="DS3" s="32">
        <f t="shared" si="3"/>
        <v>45896</v>
      </c>
      <c r="DT3" s="32">
        <f t="shared" si="3"/>
        <v>45897</v>
      </c>
      <c r="DU3" s="32">
        <f t="shared" si="3"/>
        <v>45898</v>
      </c>
      <c r="DV3" s="32">
        <f t="shared" ref="DV3" si="4">DU3+1</f>
        <v>45899</v>
      </c>
      <c r="DW3" s="32">
        <f t="shared" ref="DW3" si="5">DV3+1</f>
        <v>45900</v>
      </c>
      <c r="DX3" s="32">
        <f t="shared" ref="DX3" si="6">DW3+1</f>
        <v>45901</v>
      </c>
      <c r="DY3" s="32">
        <f t="shared" ref="DY3" si="7">DX3+1</f>
        <v>45902</v>
      </c>
      <c r="DZ3" s="32">
        <f t="shared" ref="DZ3" si="8">DY3+1</f>
        <v>45903</v>
      </c>
      <c r="EA3" s="32">
        <f t="shared" ref="EA3" si="9">DZ3+1</f>
        <v>45904</v>
      </c>
      <c r="EB3" s="32">
        <f t="shared" ref="EB3" si="10">EA3+1</f>
        <v>45905</v>
      </c>
      <c r="EC3" s="32">
        <f t="shared" ref="EC3" si="11">EB3+1</f>
        <v>45906</v>
      </c>
      <c r="ED3" s="32">
        <f t="shared" ref="ED3" si="12">EC3+1</f>
        <v>45907</v>
      </c>
      <c r="EE3" s="32">
        <f t="shared" ref="EE3" si="13">ED3+1</f>
        <v>45908</v>
      </c>
      <c r="EF3" s="32">
        <f t="shared" ref="EF3" si="14">EE3+1</f>
        <v>45909</v>
      </c>
      <c r="EG3" s="32">
        <f t="shared" ref="EG3" si="15">EF3+1</f>
        <v>45910</v>
      </c>
      <c r="EH3" s="32">
        <f t="shared" ref="EH3" si="16">EG3+1</f>
        <v>45911</v>
      </c>
      <c r="EI3" s="32">
        <f t="shared" ref="EI3" si="17">EH3+1</f>
        <v>45912</v>
      </c>
      <c r="EJ3" s="32">
        <f t="shared" ref="EJ3" si="18">EI3+1</f>
        <v>45913</v>
      </c>
      <c r="EK3" s="32">
        <f t="shared" ref="EK3" si="19">EJ3+1</f>
        <v>45914</v>
      </c>
      <c r="EL3" s="32">
        <f t="shared" ref="EL3" si="20">EK3+1</f>
        <v>45915</v>
      </c>
      <c r="EM3" s="32">
        <f t="shared" ref="EM3" si="21">EL3+1</f>
        <v>45916</v>
      </c>
      <c r="EN3" s="32">
        <f t="shared" ref="EN3" si="22">EM3+1</f>
        <v>45917</v>
      </c>
      <c r="EO3" s="32">
        <f t="shared" ref="EO3" si="23">EN3+1</f>
        <v>45918</v>
      </c>
      <c r="EP3" s="32">
        <f t="shared" ref="EP3" si="24">EO3+1</f>
        <v>45919</v>
      </c>
      <c r="EQ3" s="32">
        <f t="shared" ref="EQ3" si="25">EP3+1</f>
        <v>45920</v>
      </c>
      <c r="ER3" s="32">
        <f t="shared" ref="ER3" si="26">EQ3+1</f>
        <v>45921</v>
      </c>
      <c r="ES3" s="32">
        <f t="shared" ref="ES3" si="27">ER3+1</f>
        <v>45922</v>
      </c>
      <c r="ET3" s="32">
        <f t="shared" ref="ET3" si="28">ES3+1</f>
        <v>45923</v>
      </c>
      <c r="EU3" s="32">
        <f t="shared" ref="EU3" si="29">ET3+1</f>
        <v>45924</v>
      </c>
      <c r="EV3" s="32">
        <f t="shared" ref="EV3" si="30">EU3+1</f>
        <v>45925</v>
      </c>
      <c r="EW3" s="32">
        <f t="shared" ref="EW3" si="31">EV3+1</f>
        <v>45926</v>
      </c>
      <c r="EX3" s="32">
        <f t="shared" ref="EX3" si="32">EW3+1</f>
        <v>45927</v>
      </c>
      <c r="EY3" s="32">
        <f t="shared" ref="EY3" si="33">EX3+1</f>
        <v>45928</v>
      </c>
      <c r="EZ3" s="32">
        <f t="shared" ref="EZ3" si="34">EY3+1</f>
        <v>45929</v>
      </c>
      <c r="FA3" s="32">
        <f t="shared" ref="FA3" si="35">EZ3+1</f>
        <v>45930</v>
      </c>
      <c r="FB3" s="32">
        <f t="shared" ref="FB3" si="36">FA3+1</f>
        <v>45931</v>
      </c>
      <c r="FC3" s="32">
        <f t="shared" ref="FC3" si="37">FB3+1</f>
        <v>45932</v>
      </c>
      <c r="FD3" s="32">
        <f t="shared" ref="FD3" si="38">FC3+1</f>
        <v>45933</v>
      </c>
      <c r="FE3" s="32">
        <f t="shared" ref="FE3" si="39">FD3+1</f>
        <v>45934</v>
      </c>
      <c r="FF3" s="32">
        <f t="shared" ref="FF3" si="40">FE3+1</f>
        <v>45935</v>
      </c>
      <c r="FG3" s="32">
        <f t="shared" ref="FG3" si="41">FF3+1</f>
        <v>45936</v>
      </c>
      <c r="FH3" s="32">
        <f t="shared" ref="FH3" si="42">FG3+1</f>
        <v>45937</v>
      </c>
      <c r="FI3" s="32">
        <f t="shared" ref="FI3" si="43">FH3+1</f>
        <v>45938</v>
      </c>
      <c r="FJ3" s="32">
        <f t="shared" ref="FJ3" si="44">FI3+1</f>
        <v>45939</v>
      </c>
    </row>
    <row r="4" spans="2:166" ht="30" x14ac:dyDescent="0.25">
      <c r="B4" s="19">
        <v>1</v>
      </c>
      <c r="C4" s="22" t="s">
        <v>235</v>
      </c>
      <c r="D4" s="30"/>
      <c r="E4" s="31"/>
      <c r="F4" s="23"/>
      <c r="G4" s="23"/>
      <c r="H4" s="24"/>
      <c r="I4" s="33"/>
      <c r="J4" s="33"/>
      <c r="K4" s="33"/>
      <c r="L4" s="33"/>
      <c r="M4" s="33"/>
      <c r="N4" s="33"/>
      <c r="O4" s="33"/>
      <c r="P4" s="33"/>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c r="EO4" s="34"/>
      <c r="EP4" s="34"/>
      <c r="EQ4" s="34"/>
      <c r="ER4" s="34"/>
      <c r="ES4" s="34"/>
      <c r="ET4" s="34"/>
      <c r="EU4" s="34"/>
      <c r="EV4" s="34"/>
      <c r="EW4" s="34"/>
      <c r="EX4" s="34"/>
      <c r="EY4" s="34"/>
      <c r="EZ4" s="34"/>
      <c r="FA4" s="34"/>
      <c r="FB4" s="34"/>
      <c r="FC4" s="34"/>
      <c r="FD4" s="34"/>
      <c r="FE4" s="34"/>
      <c r="FF4" s="34"/>
      <c r="FG4" s="34"/>
      <c r="FH4" s="34"/>
      <c r="FI4" s="34"/>
      <c r="FJ4" s="34"/>
    </row>
    <row r="5" spans="2:166" x14ac:dyDescent="0.25">
      <c r="B5" s="19">
        <v>2</v>
      </c>
      <c r="C5" s="22" t="s">
        <v>214</v>
      </c>
      <c r="D5" s="29"/>
      <c r="E5" s="31"/>
      <c r="F5" s="23"/>
      <c r="G5" s="23"/>
      <c r="H5" s="24"/>
      <c r="I5" s="33"/>
      <c r="J5" s="33"/>
      <c r="K5" s="33"/>
      <c r="L5" s="33"/>
      <c r="M5" s="33"/>
      <c r="N5" s="33"/>
      <c r="O5" s="33"/>
      <c r="P5" s="33"/>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4"/>
      <c r="DT5" s="34"/>
      <c r="DU5" s="34"/>
      <c r="DV5" s="34"/>
      <c r="DW5" s="34"/>
      <c r="DX5" s="34"/>
      <c r="DY5" s="34"/>
      <c r="DZ5" s="34"/>
      <c r="EA5" s="34"/>
      <c r="EB5" s="34"/>
      <c r="EC5" s="34"/>
      <c r="ED5" s="34"/>
      <c r="EE5" s="34"/>
      <c r="EF5" s="34"/>
      <c r="EG5" s="34"/>
      <c r="EH5" s="34"/>
      <c r="EI5" s="34"/>
      <c r="EJ5" s="34"/>
      <c r="EK5" s="34"/>
      <c r="EL5" s="34"/>
      <c r="EM5" s="34"/>
      <c r="EN5" s="34"/>
      <c r="EO5" s="34"/>
      <c r="EP5" s="34"/>
      <c r="EQ5" s="34"/>
      <c r="ER5" s="34"/>
      <c r="ES5" s="34"/>
      <c r="ET5" s="34"/>
      <c r="EU5" s="34"/>
      <c r="EV5" s="34"/>
      <c r="EW5" s="34"/>
      <c r="EX5" s="34"/>
      <c r="EY5" s="34"/>
      <c r="EZ5" s="34"/>
      <c r="FA5" s="34"/>
      <c r="FB5" s="34"/>
      <c r="FC5" s="34"/>
      <c r="FD5" s="34"/>
      <c r="FE5" s="34"/>
      <c r="FF5" s="34"/>
      <c r="FG5" s="34"/>
      <c r="FH5" s="34"/>
      <c r="FI5" s="34"/>
      <c r="FJ5" s="34"/>
    </row>
    <row r="6" spans="2:166" x14ac:dyDescent="0.25">
      <c r="B6" s="19">
        <v>3</v>
      </c>
      <c r="C6" s="27" t="s">
        <v>204</v>
      </c>
      <c r="D6" s="29">
        <f>H6/7</f>
        <v>0.7142857142857143</v>
      </c>
      <c r="E6" s="31" t="s">
        <v>223</v>
      </c>
      <c r="F6" s="25">
        <v>45782</v>
      </c>
      <c r="G6" s="25">
        <v>45786</v>
      </c>
      <c r="H6" s="26">
        <v>5</v>
      </c>
      <c r="I6" s="35"/>
      <c r="J6" s="35"/>
      <c r="K6" s="35"/>
      <c r="L6" s="35"/>
      <c r="M6" s="37"/>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4"/>
      <c r="EI6" s="34"/>
      <c r="EJ6" s="34"/>
      <c r="EK6" s="34"/>
      <c r="EL6" s="34"/>
      <c r="EM6" s="34"/>
      <c r="EN6" s="34"/>
      <c r="EO6" s="34"/>
      <c r="EP6" s="34"/>
      <c r="EQ6" s="34"/>
      <c r="ER6" s="34"/>
      <c r="ES6" s="34"/>
      <c r="ET6" s="34"/>
      <c r="EU6" s="34"/>
      <c r="EV6" s="34"/>
      <c r="EW6" s="34"/>
      <c r="EX6" s="34"/>
      <c r="EY6" s="34"/>
      <c r="EZ6" s="34"/>
      <c r="FA6" s="34"/>
      <c r="FB6" s="34"/>
      <c r="FC6" s="34"/>
      <c r="FD6" s="34"/>
      <c r="FE6" s="34"/>
      <c r="FF6" s="34"/>
      <c r="FG6" s="34"/>
      <c r="FH6" s="34"/>
      <c r="FI6" s="34"/>
      <c r="FJ6" s="34"/>
    </row>
    <row r="7" spans="2:166" x14ac:dyDescent="0.25">
      <c r="B7" s="19">
        <v>4</v>
      </c>
      <c r="C7" s="27" t="s">
        <v>205</v>
      </c>
      <c r="D7" s="29">
        <f t="shared" ref="D7:D69" si="45">H7/7</f>
        <v>0.7142857142857143</v>
      </c>
      <c r="E7" s="31">
        <v>3</v>
      </c>
      <c r="F7" s="25">
        <v>45787</v>
      </c>
      <c r="G7" s="25">
        <v>45791</v>
      </c>
      <c r="H7" s="26">
        <v>5</v>
      </c>
      <c r="I7" s="34"/>
      <c r="J7" s="34"/>
      <c r="K7" s="34"/>
      <c r="L7" s="34"/>
      <c r="M7" s="34"/>
      <c r="N7" s="38"/>
      <c r="O7" s="35"/>
      <c r="P7" s="35"/>
      <c r="Q7" s="35"/>
      <c r="R7" s="37"/>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c r="DC7" s="34"/>
      <c r="DD7" s="34"/>
      <c r="DE7" s="34"/>
      <c r="DF7" s="34"/>
      <c r="DG7" s="34"/>
      <c r="DH7" s="34"/>
      <c r="DI7" s="34"/>
      <c r="DJ7" s="34"/>
      <c r="DK7" s="34"/>
      <c r="DL7" s="34"/>
      <c r="DM7" s="34"/>
      <c r="DN7" s="34"/>
      <c r="DO7" s="34"/>
      <c r="DP7" s="34"/>
      <c r="DQ7" s="34"/>
      <c r="DR7" s="34"/>
      <c r="DS7" s="34"/>
      <c r="DT7" s="34"/>
      <c r="DU7" s="34"/>
      <c r="DV7" s="34"/>
      <c r="DW7" s="34"/>
      <c r="DX7" s="34"/>
      <c r="DY7" s="34"/>
      <c r="DZ7" s="34"/>
      <c r="EA7" s="34"/>
      <c r="EB7" s="34"/>
      <c r="EC7" s="34"/>
      <c r="ED7" s="34"/>
      <c r="EE7" s="34"/>
      <c r="EF7" s="34"/>
      <c r="EG7" s="34"/>
      <c r="EH7" s="34"/>
      <c r="EI7" s="34"/>
      <c r="EJ7" s="34"/>
      <c r="EK7" s="34"/>
      <c r="EL7" s="34"/>
      <c r="EM7" s="34"/>
      <c r="EN7" s="34"/>
      <c r="EO7" s="34"/>
      <c r="EP7" s="34"/>
      <c r="EQ7" s="34"/>
      <c r="ER7" s="34"/>
      <c r="ES7" s="34"/>
      <c r="ET7" s="34"/>
      <c r="EU7" s="34"/>
      <c r="EV7" s="34"/>
      <c r="EW7" s="34"/>
      <c r="EX7" s="34"/>
      <c r="EY7" s="34"/>
      <c r="EZ7" s="34"/>
      <c r="FA7" s="34"/>
      <c r="FB7" s="34"/>
      <c r="FC7" s="34"/>
      <c r="FD7" s="34"/>
      <c r="FE7" s="34"/>
      <c r="FF7" s="34"/>
      <c r="FG7" s="34"/>
      <c r="FH7" s="34"/>
      <c r="FI7" s="34"/>
      <c r="FJ7" s="34"/>
    </row>
    <row r="8" spans="2:166" x14ac:dyDescent="0.25">
      <c r="B8" s="19">
        <v>5</v>
      </c>
      <c r="C8" s="27" t="s">
        <v>155</v>
      </c>
      <c r="D8" s="29">
        <f t="shared" si="45"/>
        <v>0.7142857142857143</v>
      </c>
      <c r="E8" s="31">
        <v>4</v>
      </c>
      <c r="F8" s="25">
        <v>45792</v>
      </c>
      <c r="G8" s="25">
        <v>45796</v>
      </c>
      <c r="H8" s="26">
        <v>5</v>
      </c>
      <c r="I8" s="34"/>
      <c r="J8" s="34"/>
      <c r="K8" s="34"/>
      <c r="L8" s="34"/>
      <c r="M8" s="34"/>
      <c r="N8" s="34"/>
      <c r="O8" s="34"/>
      <c r="P8" s="34"/>
      <c r="Q8" s="34"/>
      <c r="R8" s="34"/>
      <c r="S8" s="38"/>
      <c r="T8" s="35"/>
      <c r="U8" s="35"/>
      <c r="V8" s="35"/>
      <c r="W8" s="37"/>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c r="DC8" s="34"/>
      <c r="DD8" s="34"/>
      <c r="DE8" s="34"/>
      <c r="DF8" s="34"/>
      <c r="DG8" s="34"/>
      <c r="DH8" s="34"/>
      <c r="DI8" s="34"/>
      <c r="DJ8" s="34"/>
      <c r="DK8" s="34"/>
      <c r="DL8" s="34"/>
      <c r="DM8" s="34"/>
      <c r="DN8" s="34"/>
      <c r="DO8" s="34"/>
      <c r="DP8" s="34"/>
      <c r="DQ8" s="34"/>
      <c r="DR8" s="34"/>
      <c r="DS8" s="34"/>
      <c r="DT8" s="34"/>
      <c r="DU8" s="34"/>
      <c r="DV8" s="34"/>
      <c r="DW8" s="34"/>
      <c r="DX8" s="34"/>
      <c r="DY8" s="34"/>
      <c r="DZ8" s="34"/>
      <c r="EA8" s="34"/>
      <c r="EB8" s="34"/>
      <c r="EC8" s="34"/>
      <c r="ED8" s="34"/>
      <c r="EE8" s="34"/>
      <c r="EF8" s="34"/>
      <c r="EG8" s="34"/>
      <c r="EH8" s="34"/>
      <c r="EI8" s="34"/>
      <c r="EJ8" s="34"/>
      <c r="EK8" s="34"/>
      <c r="EL8" s="34"/>
      <c r="EM8" s="34"/>
      <c r="EN8" s="34"/>
      <c r="EO8" s="34"/>
      <c r="EP8" s="34"/>
      <c r="EQ8" s="34"/>
      <c r="ER8" s="34"/>
      <c r="ES8" s="34"/>
      <c r="ET8" s="34"/>
      <c r="EU8" s="34"/>
      <c r="EV8" s="34"/>
      <c r="EW8" s="34"/>
      <c r="EX8" s="34"/>
      <c r="EY8" s="34"/>
      <c r="EZ8" s="34"/>
      <c r="FA8" s="34"/>
      <c r="FB8" s="34"/>
      <c r="FC8" s="34"/>
      <c r="FD8" s="34"/>
      <c r="FE8" s="34"/>
      <c r="FF8" s="34"/>
      <c r="FG8" s="34"/>
      <c r="FH8" s="34"/>
      <c r="FI8" s="34"/>
      <c r="FJ8" s="34"/>
    </row>
    <row r="9" spans="2:166" x14ac:dyDescent="0.25">
      <c r="B9" s="19">
        <v>6</v>
      </c>
      <c r="C9" s="27" t="s">
        <v>210</v>
      </c>
      <c r="D9" s="29">
        <f t="shared" si="45"/>
        <v>0.7142857142857143</v>
      </c>
      <c r="E9" s="31">
        <v>5</v>
      </c>
      <c r="F9" s="25">
        <v>45797</v>
      </c>
      <c r="G9" s="25">
        <v>45801</v>
      </c>
      <c r="H9" s="26">
        <v>5</v>
      </c>
      <c r="I9" s="34"/>
      <c r="J9" s="34"/>
      <c r="K9" s="34"/>
      <c r="L9" s="34"/>
      <c r="M9" s="34"/>
      <c r="N9" s="34"/>
      <c r="O9" s="34"/>
      <c r="P9" s="34"/>
      <c r="Q9" s="34"/>
      <c r="R9" s="34"/>
      <c r="S9" s="34"/>
      <c r="T9" s="34"/>
      <c r="U9" s="34"/>
      <c r="V9" s="34"/>
      <c r="W9" s="34"/>
      <c r="X9" s="38"/>
      <c r="Y9" s="35"/>
      <c r="Z9" s="35"/>
      <c r="AA9" s="35"/>
      <c r="AB9" s="37"/>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c r="DC9" s="34"/>
      <c r="DD9" s="34"/>
      <c r="DE9" s="34"/>
      <c r="DF9" s="34"/>
      <c r="DG9" s="34"/>
      <c r="DH9" s="34"/>
      <c r="DI9" s="34"/>
      <c r="DJ9" s="34"/>
      <c r="DK9" s="34"/>
      <c r="DL9" s="34"/>
      <c r="DM9" s="34"/>
      <c r="DN9" s="34"/>
      <c r="DO9" s="34"/>
      <c r="DP9" s="34"/>
      <c r="DQ9" s="34"/>
      <c r="DR9" s="34"/>
      <c r="DS9" s="34"/>
      <c r="DT9" s="34"/>
      <c r="DU9" s="34"/>
      <c r="DV9" s="34"/>
      <c r="DW9" s="34"/>
      <c r="DX9" s="34"/>
      <c r="DY9" s="34"/>
      <c r="DZ9" s="34"/>
      <c r="EA9" s="34"/>
      <c r="EB9" s="34"/>
      <c r="EC9" s="34"/>
      <c r="ED9" s="34"/>
      <c r="EE9" s="34"/>
      <c r="EF9" s="34"/>
      <c r="EG9" s="34"/>
      <c r="EH9" s="34"/>
      <c r="EI9" s="34"/>
      <c r="EJ9" s="34"/>
      <c r="EK9" s="34"/>
      <c r="EL9" s="34"/>
      <c r="EM9" s="34"/>
      <c r="EN9" s="34"/>
      <c r="EO9" s="34"/>
      <c r="EP9" s="34"/>
      <c r="EQ9" s="34"/>
      <c r="ER9" s="34"/>
      <c r="ES9" s="34"/>
      <c r="ET9" s="34"/>
      <c r="EU9" s="34"/>
      <c r="EV9" s="34"/>
      <c r="EW9" s="34"/>
      <c r="EX9" s="34"/>
      <c r="EY9" s="34"/>
      <c r="EZ9" s="34"/>
      <c r="FA9" s="34"/>
      <c r="FB9" s="34"/>
      <c r="FC9" s="34"/>
      <c r="FD9" s="34"/>
      <c r="FE9" s="34"/>
      <c r="FF9" s="34"/>
      <c r="FG9" s="34"/>
      <c r="FH9" s="34"/>
      <c r="FI9" s="34"/>
      <c r="FJ9" s="34"/>
    </row>
    <row r="10" spans="2:166" x14ac:dyDescent="0.25">
      <c r="B10" s="19">
        <v>7</v>
      </c>
      <c r="C10" s="22" t="s">
        <v>215</v>
      </c>
      <c r="D10" s="29">
        <f t="shared" si="45"/>
        <v>0</v>
      </c>
      <c r="E10" s="31"/>
      <c r="F10" s="23"/>
      <c r="G10" s="23"/>
      <c r="H10" s="24"/>
      <c r="I10" s="33"/>
      <c r="J10" s="33"/>
      <c r="K10" s="33"/>
      <c r="L10" s="33"/>
      <c r="M10" s="33"/>
      <c r="N10" s="33"/>
      <c r="O10" s="33"/>
      <c r="P10" s="33"/>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c r="BT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c r="DC10" s="34"/>
      <c r="DD10" s="34"/>
      <c r="DE10" s="34"/>
      <c r="DF10" s="34"/>
      <c r="DG10" s="34"/>
      <c r="DH10" s="34"/>
      <c r="DI10" s="34"/>
      <c r="DJ10" s="34"/>
      <c r="DK10" s="34"/>
      <c r="DL10" s="34"/>
      <c r="DM10" s="34"/>
      <c r="DN10" s="34"/>
      <c r="DO10" s="34"/>
      <c r="DP10" s="34"/>
      <c r="DQ10" s="34"/>
      <c r="DR10" s="34"/>
      <c r="DS10" s="34"/>
      <c r="DT10" s="34"/>
      <c r="DU10" s="34"/>
      <c r="DV10" s="34"/>
      <c r="DW10" s="34"/>
      <c r="DX10" s="34"/>
      <c r="DY10" s="34"/>
      <c r="DZ10" s="34"/>
      <c r="EA10" s="34"/>
      <c r="EB10" s="34"/>
      <c r="EC10" s="34"/>
      <c r="ED10" s="34"/>
      <c r="EE10" s="34"/>
      <c r="EF10" s="34"/>
      <c r="EG10" s="34"/>
      <c r="EH10" s="34"/>
      <c r="EI10" s="34"/>
      <c r="EJ10" s="34"/>
      <c r="EK10" s="34"/>
      <c r="EL10" s="34"/>
      <c r="EM10" s="34"/>
      <c r="EN10" s="34"/>
      <c r="EO10" s="34"/>
      <c r="EP10" s="34"/>
      <c r="EQ10" s="34"/>
      <c r="ER10" s="34"/>
      <c r="ES10" s="34"/>
      <c r="ET10" s="34"/>
      <c r="EU10" s="34"/>
      <c r="EV10" s="34"/>
      <c r="EW10" s="34"/>
      <c r="EX10" s="34"/>
      <c r="EY10" s="34"/>
      <c r="EZ10" s="34"/>
      <c r="FA10" s="34"/>
      <c r="FB10" s="34"/>
      <c r="FC10" s="34"/>
      <c r="FD10" s="34"/>
      <c r="FE10" s="34"/>
      <c r="FF10" s="34"/>
      <c r="FG10" s="34"/>
      <c r="FH10" s="34"/>
      <c r="FI10" s="34"/>
      <c r="FJ10" s="34"/>
    </row>
    <row r="11" spans="2:166" x14ac:dyDescent="0.25">
      <c r="B11" s="19">
        <v>8</v>
      </c>
      <c r="C11" s="27" t="s">
        <v>161</v>
      </c>
      <c r="D11" s="29">
        <f t="shared" si="45"/>
        <v>0.42857142857142855</v>
      </c>
      <c r="E11" s="31">
        <v>6</v>
      </c>
      <c r="F11" s="25">
        <v>45802</v>
      </c>
      <c r="G11" s="25">
        <v>45804</v>
      </c>
      <c r="H11" s="26">
        <v>3</v>
      </c>
      <c r="I11" s="34"/>
      <c r="J11" s="34"/>
      <c r="K11" s="34"/>
      <c r="L11" s="34"/>
      <c r="M11" s="34"/>
      <c r="N11" s="34"/>
      <c r="O11" s="34"/>
      <c r="P11" s="34"/>
      <c r="Q11" s="34"/>
      <c r="R11" s="34"/>
      <c r="S11" s="34"/>
      <c r="T11" s="34"/>
      <c r="U11" s="34"/>
      <c r="V11" s="34"/>
      <c r="W11" s="34"/>
      <c r="X11" s="34"/>
      <c r="Y11" s="34"/>
      <c r="Z11" s="34"/>
      <c r="AA11" s="34"/>
      <c r="AB11" s="34"/>
      <c r="AC11" s="35"/>
      <c r="AD11" s="35"/>
      <c r="AE11" s="37"/>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4"/>
      <c r="BX11" s="34"/>
      <c r="BY11" s="34"/>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c r="DC11" s="34"/>
      <c r="DD11" s="34"/>
      <c r="DE11" s="34"/>
      <c r="DF11" s="34"/>
      <c r="DG11" s="34"/>
      <c r="DH11" s="34"/>
      <c r="DI11" s="34"/>
      <c r="DJ11" s="34"/>
      <c r="DK11" s="34"/>
      <c r="DL11" s="34"/>
      <c r="DM11" s="34"/>
      <c r="DN11" s="34"/>
      <c r="DO11" s="34"/>
      <c r="DP11" s="34"/>
      <c r="DQ11" s="34"/>
      <c r="DR11" s="34"/>
      <c r="DS11" s="34"/>
      <c r="DT11" s="34"/>
      <c r="DU11" s="34"/>
      <c r="DV11" s="34"/>
      <c r="DW11" s="34"/>
      <c r="DX11" s="34"/>
      <c r="DY11" s="34"/>
      <c r="DZ11" s="34"/>
      <c r="EA11" s="34"/>
      <c r="EB11" s="34"/>
      <c r="EC11" s="34"/>
      <c r="ED11" s="34"/>
      <c r="EE11" s="34"/>
      <c r="EF11" s="34"/>
      <c r="EG11" s="34"/>
      <c r="EH11" s="34"/>
      <c r="EI11" s="34"/>
      <c r="EJ11" s="34"/>
      <c r="EK11" s="34"/>
      <c r="EL11" s="34"/>
      <c r="EM11" s="34"/>
      <c r="EN11" s="34"/>
      <c r="EO11" s="34"/>
      <c r="EP11" s="34"/>
      <c r="EQ11" s="34"/>
      <c r="ER11" s="34"/>
      <c r="ES11" s="34"/>
      <c r="ET11" s="34"/>
      <c r="EU11" s="34"/>
      <c r="EV11" s="34"/>
      <c r="EW11" s="34"/>
      <c r="EX11" s="34"/>
      <c r="EY11" s="34"/>
      <c r="EZ11" s="34"/>
      <c r="FA11" s="34"/>
      <c r="FB11" s="34"/>
      <c r="FC11" s="34"/>
      <c r="FD11" s="34"/>
      <c r="FE11" s="34"/>
      <c r="FF11" s="34"/>
      <c r="FG11" s="34"/>
      <c r="FH11" s="34"/>
      <c r="FI11" s="34"/>
      <c r="FJ11" s="34"/>
    </row>
    <row r="12" spans="2:166" x14ac:dyDescent="0.25">
      <c r="B12" s="19">
        <v>9</v>
      </c>
      <c r="C12" s="27" t="s">
        <v>162</v>
      </c>
      <c r="D12" s="29">
        <f t="shared" si="45"/>
        <v>0.42857142857142855</v>
      </c>
      <c r="E12" s="31">
        <v>6</v>
      </c>
      <c r="F12" s="25">
        <v>45802</v>
      </c>
      <c r="G12" s="25">
        <v>45804</v>
      </c>
      <c r="H12" s="26">
        <v>3</v>
      </c>
      <c r="I12" s="34"/>
      <c r="J12" s="34"/>
      <c r="K12" s="34"/>
      <c r="L12" s="34"/>
      <c r="M12" s="34"/>
      <c r="N12" s="34"/>
      <c r="O12" s="34"/>
      <c r="P12" s="34"/>
      <c r="Q12" s="34"/>
      <c r="R12" s="34"/>
      <c r="S12" s="34"/>
      <c r="T12" s="34"/>
      <c r="U12" s="34"/>
      <c r="V12" s="34"/>
      <c r="W12" s="34"/>
      <c r="X12" s="34"/>
      <c r="Y12" s="34"/>
      <c r="Z12" s="34"/>
      <c r="AA12" s="34"/>
      <c r="AB12" s="34"/>
      <c r="AC12" s="39"/>
      <c r="AD12" s="35"/>
      <c r="AE12" s="37"/>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c r="DC12" s="34"/>
      <c r="DD12" s="34"/>
      <c r="DE12" s="34"/>
      <c r="DF12" s="34"/>
      <c r="DG12" s="34"/>
      <c r="DH12" s="34"/>
      <c r="DI12" s="34"/>
      <c r="DJ12" s="34"/>
      <c r="DK12" s="34"/>
      <c r="DL12" s="34"/>
      <c r="DM12" s="34"/>
      <c r="DN12" s="34"/>
      <c r="DO12" s="34"/>
      <c r="DP12" s="34"/>
      <c r="DQ12" s="34"/>
      <c r="DR12" s="34"/>
      <c r="DS12" s="34"/>
      <c r="DT12" s="34"/>
      <c r="DU12" s="34"/>
      <c r="DV12" s="34"/>
      <c r="DW12" s="34"/>
      <c r="DX12" s="34"/>
      <c r="DY12" s="34"/>
      <c r="DZ12" s="34"/>
      <c r="EA12" s="34"/>
      <c r="EB12" s="34"/>
      <c r="EC12" s="34"/>
      <c r="ED12" s="34"/>
      <c r="EE12" s="34"/>
      <c r="EF12" s="34"/>
      <c r="EG12" s="34"/>
      <c r="EH12" s="34"/>
      <c r="EI12" s="34"/>
      <c r="EJ12" s="34"/>
      <c r="EK12" s="34"/>
      <c r="EL12" s="34"/>
      <c r="EM12" s="34"/>
      <c r="EN12" s="34"/>
      <c r="EO12" s="34"/>
      <c r="EP12" s="34"/>
      <c r="EQ12" s="34"/>
      <c r="ER12" s="34"/>
      <c r="ES12" s="34"/>
      <c r="ET12" s="34"/>
      <c r="EU12" s="34"/>
      <c r="EV12" s="34"/>
      <c r="EW12" s="34"/>
      <c r="EX12" s="34"/>
      <c r="EY12" s="34"/>
      <c r="EZ12" s="34"/>
      <c r="FA12" s="34"/>
      <c r="FB12" s="34"/>
      <c r="FC12" s="34"/>
      <c r="FD12" s="34"/>
      <c r="FE12" s="34"/>
      <c r="FF12" s="34"/>
      <c r="FG12" s="34"/>
      <c r="FH12" s="34"/>
      <c r="FI12" s="34"/>
      <c r="FJ12" s="34"/>
    </row>
    <row r="13" spans="2:166" x14ac:dyDescent="0.25">
      <c r="B13" s="19">
        <v>10</v>
      </c>
      <c r="C13" s="27" t="s">
        <v>163</v>
      </c>
      <c r="D13" s="29">
        <f t="shared" si="45"/>
        <v>0.42857142857142855</v>
      </c>
      <c r="E13" s="31" t="s">
        <v>224</v>
      </c>
      <c r="F13" s="25">
        <v>45805</v>
      </c>
      <c r="G13" s="25">
        <v>45807</v>
      </c>
      <c r="H13" s="26">
        <v>3</v>
      </c>
      <c r="I13" s="34"/>
      <c r="J13" s="34"/>
      <c r="K13" s="34"/>
      <c r="L13" s="34"/>
      <c r="M13" s="34"/>
      <c r="N13" s="34"/>
      <c r="O13" s="34"/>
      <c r="P13" s="34"/>
      <c r="Q13" s="34"/>
      <c r="R13" s="34"/>
      <c r="S13" s="34"/>
      <c r="T13" s="34"/>
      <c r="U13" s="34"/>
      <c r="V13" s="34"/>
      <c r="W13" s="34"/>
      <c r="X13" s="34"/>
      <c r="Y13" s="34"/>
      <c r="Z13" s="34"/>
      <c r="AA13" s="34"/>
      <c r="AB13" s="34"/>
      <c r="AC13" s="34"/>
      <c r="AD13" s="34"/>
      <c r="AE13" s="34"/>
      <c r="AF13" s="35"/>
      <c r="AG13" s="35"/>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c r="DC13" s="34"/>
      <c r="DD13" s="34"/>
      <c r="DE13" s="34"/>
      <c r="DF13" s="34"/>
      <c r="DG13" s="34"/>
      <c r="DH13" s="34"/>
      <c r="DI13" s="34"/>
      <c r="DJ13" s="34"/>
      <c r="DK13" s="34"/>
      <c r="DL13" s="34"/>
      <c r="DM13" s="34"/>
      <c r="DN13" s="34"/>
      <c r="DO13" s="34"/>
      <c r="DP13" s="34"/>
      <c r="DQ13" s="34"/>
      <c r="DR13" s="34"/>
      <c r="DS13" s="34"/>
      <c r="DT13" s="34"/>
      <c r="DU13" s="34"/>
      <c r="DV13" s="34"/>
      <c r="DW13" s="34"/>
      <c r="DX13" s="34"/>
      <c r="DY13" s="34"/>
      <c r="DZ13" s="34"/>
      <c r="EA13" s="34"/>
      <c r="EB13" s="34"/>
      <c r="EC13" s="34"/>
      <c r="ED13" s="34"/>
      <c r="EE13" s="34"/>
      <c r="EF13" s="34"/>
      <c r="EG13" s="34"/>
      <c r="EH13" s="34"/>
      <c r="EI13" s="34"/>
      <c r="EJ13" s="34"/>
      <c r="EK13" s="34"/>
      <c r="EL13" s="34"/>
      <c r="EM13" s="34"/>
      <c r="EN13" s="34"/>
      <c r="EO13" s="34"/>
      <c r="EP13" s="34"/>
      <c r="EQ13" s="34"/>
      <c r="ER13" s="34"/>
      <c r="ES13" s="34"/>
      <c r="ET13" s="34"/>
      <c r="EU13" s="34"/>
      <c r="EV13" s="34"/>
      <c r="EW13" s="34"/>
      <c r="EX13" s="34"/>
      <c r="EY13" s="34"/>
      <c r="EZ13" s="34"/>
      <c r="FA13" s="34"/>
      <c r="FB13" s="34"/>
      <c r="FC13" s="34"/>
      <c r="FD13" s="34"/>
      <c r="FE13" s="34"/>
      <c r="FF13" s="34"/>
      <c r="FG13" s="34"/>
      <c r="FH13" s="34"/>
      <c r="FI13" s="34"/>
      <c r="FJ13" s="34"/>
    </row>
    <row r="14" spans="2:166" x14ac:dyDescent="0.25">
      <c r="B14" s="19">
        <v>11</v>
      </c>
      <c r="C14" s="28" t="s">
        <v>164</v>
      </c>
      <c r="D14" s="29">
        <f t="shared" si="45"/>
        <v>0.42857142857142855</v>
      </c>
      <c r="E14" s="31" t="s">
        <v>224</v>
      </c>
      <c r="F14" s="25">
        <v>45805</v>
      </c>
      <c r="G14" s="25">
        <v>45807</v>
      </c>
      <c r="H14" s="26">
        <v>3</v>
      </c>
      <c r="I14" s="34"/>
      <c r="J14" s="34"/>
      <c r="K14" s="34"/>
      <c r="L14" s="34"/>
      <c r="M14" s="34"/>
      <c r="N14" s="34"/>
      <c r="O14" s="34"/>
      <c r="P14" s="34"/>
      <c r="Q14" s="34"/>
      <c r="R14" s="34"/>
      <c r="S14" s="34"/>
      <c r="T14" s="34"/>
      <c r="U14" s="34"/>
      <c r="V14" s="34"/>
      <c r="W14" s="34"/>
      <c r="X14" s="34"/>
      <c r="Y14" s="34"/>
      <c r="Z14" s="34"/>
      <c r="AA14" s="34"/>
      <c r="AB14" s="34"/>
      <c r="AC14" s="34"/>
      <c r="AD14" s="34"/>
      <c r="AE14" s="34"/>
      <c r="AF14" s="39"/>
      <c r="AG14" s="35"/>
      <c r="AH14" s="37"/>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c r="DC14" s="34"/>
      <c r="DD14" s="34"/>
      <c r="DE14" s="34"/>
      <c r="DF14" s="34"/>
      <c r="DG14" s="34"/>
      <c r="DH14" s="34"/>
      <c r="DI14" s="34"/>
      <c r="DJ14" s="34"/>
      <c r="DK14" s="34"/>
      <c r="DL14" s="34"/>
      <c r="DM14" s="34"/>
      <c r="DN14" s="34"/>
      <c r="DO14" s="34"/>
      <c r="DP14" s="34"/>
      <c r="DQ14" s="34"/>
      <c r="DR14" s="34"/>
      <c r="DS14" s="34"/>
      <c r="DT14" s="34"/>
      <c r="DU14" s="34"/>
      <c r="DV14" s="34"/>
      <c r="DW14" s="34"/>
      <c r="DX14" s="34"/>
      <c r="DY14" s="34"/>
      <c r="DZ14" s="34"/>
      <c r="EA14" s="34"/>
      <c r="EB14" s="34"/>
      <c r="EC14" s="34"/>
      <c r="ED14" s="34"/>
      <c r="EE14" s="34"/>
      <c r="EF14" s="34"/>
      <c r="EG14" s="34"/>
      <c r="EH14" s="34"/>
      <c r="EI14" s="34"/>
      <c r="EJ14" s="34"/>
      <c r="EK14" s="34"/>
      <c r="EL14" s="34"/>
      <c r="EM14" s="34"/>
      <c r="EN14" s="34"/>
      <c r="EO14" s="34"/>
      <c r="EP14" s="34"/>
      <c r="EQ14" s="34"/>
      <c r="ER14" s="34"/>
      <c r="ES14" s="34"/>
      <c r="ET14" s="34"/>
      <c r="EU14" s="34"/>
      <c r="EV14" s="34"/>
      <c r="EW14" s="34"/>
      <c r="EX14" s="34"/>
      <c r="EY14" s="34"/>
      <c r="EZ14" s="34"/>
      <c r="FA14" s="34"/>
      <c r="FB14" s="34"/>
      <c r="FC14" s="34"/>
      <c r="FD14" s="34"/>
      <c r="FE14" s="34"/>
      <c r="FF14" s="34"/>
      <c r="FG14" s="34"/>
      <c r="FH14" s="34"/>
      <c r="FI14" s="34"/>
      <c r="FJ14" s="34"/>
    </row>
    <row r="15" spans="2:166" x14ac:dyDescent="0.25">
      <c r="B15" s="19">
        <v>12</v>
      </c>
      <c r="C15" s="27" t="s">
        <v>165</v>
      </c>
      <c r="D15" s="29">
        <f t="shared" si="45"/>
        <v>0.42857142857142855</v>
      </c>
      <c r="E15" s="31">
        <v>11</v>
      </c>
      <c r="F15" s="25">
        <v>45808</v>
      </c>
      <c r="G15" s="25">
        <v>45810</v>
      </c>
      <c r="H15" s="26">
        <v>3</v>
      </c>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5"/>
      <c r="AJ15" s="35"/>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c r="DC15" s="34"/>
      <c r="DD15" s="34"/>
      <c r="DE15" s="34"/>
      <c r="DF15" s="34"/>
      <c r="DG15" s="34"/>
      <c r="DH15" s="34"/>
      <c r="DI15" s="34"/>
      <c r="DJ15" s="34"/>
      <c r="DK15" s="34"/>
      <c r="DL15" s="34"/>
      <c r="DM15" s="34"/>
      <c r="DN15" s="34"/>
      <c r="DO15" s="34"/>
      <c r="DP15" s="34"/>
      <c r="DQ15" s="34"/>
      <c r="DR15" s="34"/>
      <c r="DS15" s="34"/>
      <c r="DT15" s="34"/>
      <c r="DU15" s="34"/>
      <c r="DV15" s="34"/>
      <c r="DW15" s="34"/>
      <c r="DX15" s="34"/>
      <c r="DY15" s="34"/>
      <c r="DZ15" s="34"/>
      <c r="EA15" s="34"/>
      <c r="EB15" s="34"/>
      <c r="EC15" s="34"/>
      <c r="ED15" s="34"/>
      <c r="EE15" s="34"/>
      <c r="EF15" s="34"/>
      <c r="EG15" s="34"/>
      <c r="EH15" s="34"/>
      <c r="EI15" s="34"/>
      <c r="EJ15" s="34"/>
      <c r="EK15" s="34"/>
      <c r="EL15" s="34"/>
      <c r="EM15" s="34"/>
      <c r="EN15" s="34"/>
      <c r="EO15" s="34"/>
      <c r="EP15" s="34"/>
      <c r="EQ15" s="34"/>
      <c r="ER15" s="34"/>
      <c r="ES15" s="34"/>
      <c r="ET15" s="34"/>
      <c r="EU15" s="34"/>
      <c r="EV15" s="34"/>
      <c r="EW15" s="34"/>
      <c r="EX15" s="34"/>
      <c r="EY15" s="34"/>
      <c r="EZ15" s="34"/>
      <c r="FA15" s="34"/>
      <c r="FB15" s="34"/>
      <c r="FC15" s="34"/>
      <c r="FD15" s="34"/>
      <c r="FE15" s="34"/>
      <c r="FF15" s="34"/>
      <c r="FG15" s="34"/>
      <c r="FH15" s="34"/>
      <c r="FI15" s="34"/>
      <c r="FJ15" s="34"/>
    </row>
    <row r="16" spans="2:166" ht="30" x14ac:dyDescent="0.25">
      <c r="B16" s="19">
        <v>13</v>
      </c>
      <c r="C16" s="27" t="s">
        <v>211</v>
      </c>
      <c r="D16" s="29">
        <f t="shared" si="45"/>
        <v>0.42857142857142855</v>
      </c>
      <c r="E16" s="31">
        <v>11</v>
      </c>
      <c r="F16" s="25">
        <v>45808</v>
      </c>
      <c r="G16" s="25">
        <v>45810</v>
      </c>
      <c r="H16" s="26">
        <v>3</v>
      </c>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9"/>
      <c r="AJ16" s="35"/>
      <c r="AK16" s="37"/>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c r="DC16" s="34"/>
      <c r="DD16" s="34"/>
      <c r="DE16" s="34"/>
      <c r="DF16" s="34"/>
      <c r="DG16" s="34"/>
      <c r="DH16" s="34"/>
      <c r="DI16" s="34"/>
      <c r="DJ16" s="34"/>
      <c r="DK16" s="34"/>
      <c r="DL16" s="34"/>
      <c r="DM16" s="34"/>
      <c r="DN16" s="34"/>
      <c r="DO16" s="34"/>
      <c r="DP16" s="34"/>
      <c r="DQ16" s="34"/>
      <c r="DR16" s="34"/>
      <c r="DS16" s="34"/>
      <c r="DT16" s="34"/>
      <c r="DU16" s="34"/>
      <c r="DV16" s="34"/>
      <c r="DW16" s="34"/>
      <c r="DX16" s="34"/>
      <c r="DY16" s="34"/>
      <c r="DZ16" s="34"/>
      <c r="EA16" s="34"/>
      <c r="EB16" s="34"/>
      <c r="EC16" s="34"/>
      <c r="ED16" s="34"/>
      <c r="EE16" s="34"/>
      <c r="EF16" s="34"/>
      <c r="EG16" s="34"/>
      <c r="EH16" s="34"/>
      <c r="EI16" s="34"/>
      <c r="EJ16" s="34"/>
      <c r="EK16" s="34"/>
      <c r="EL16" s="34"/>
      <c r="EM16" s="34"/>
      <c r="EN16" s="34"/>
      <c r="EO16" s="34"/>
      <c r="EP16" s="34"/>
      <c r="EQ16" s="34"/>
      <c r="ER16" s="34"/>
      <c r="ES16" s="34"/>
      <c r="ET16" s="34"/>
      <c r="EU16" s="34"/>
      <c r="EV16" s="34"/>
      <c r="EW16" s="34"/>
      <c r="EX16" s="34"/>
      <c r="EY16" s="34"/>
      <c r="EZ16" s="34"/>
      <c r="FA16" s="34"/>
      <c r="FB16" s="34"/>
      <c r="FC16" s="34"/>
      <c r="FD16" s="34"/>
      <c r="FE16" s="34"/>
      <c r="FF16" s="34"/>
      <c r="FG16" s="34"/>
      <c r="FH16" s="34"/>
      <c r="FI16" s="34"/>
      <c r="FJ16" s="34"/>
    </row>
    <row r="17" spans="2:166" x14ac:dyDescent="0.25">
      <c r="B17" s="19">
        <v>14</v>
      </c>
      <c r="C17" s="22" t="s">
        <v>216</v>
      </c>
      <c r="D17" s="29">
        <f t="shared" si="45"/>
        <v>0</v>
      </c>
      <c r="E17" s="31"/>
      <c r="F17" s="25"/>
      <c r="G17" s="25"/>
      <c r="H17" s="26"/>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c r="DC17" s="34"/>
      <c r="DD17" s="34"/>
      <c r="DE17" s="34"/>
      <c r="DF17" s="34"/>
      <c r="DG17" s="34"/>
      <c r="DH17" s="34"/>
      <c r="DI17" s="34"/>
      <c r="DJ17" s="34"/>
      <c r="DK17" s="34"/>
      <c r="DL17" s="34"/>
      <c r="DM17" s="34"/>
      <c r="DN17" s="34"/>
      <c r="DO17" s="34"/>
      <c r="DP17" s="34"/>
      <c r="DQ17" s="34"/>
      <c r="DR17" s="34"/>
      <c r="DS17" s="34"/>
      <c r="DT17" s="34"/>
      <c r="DU17" s="34"/>
      <c r="DV17" s="34"/>
      <c r="DW17" s="34"/>
      <c r="DX17" s="34"/>
      <c r="DY17" s="34"/>
      <c r="DZ17" s="34"/>
      <c r="EA17" s="34"/>
      <c r="EB17" s="34"/>
      <c r="EC17" s="34"/>
      <c r="ED17" s="34"/>
      <c r="EE17" s="34"/>
      <c r="EF17" s="34"/>
      <c r="EG17" s="34"/>
      <c r="EH17" s="34"/>
      <c r="EI17" s="34"/>
      <c r="EJ17" s="34"/>
      <c r="EK17" s="34"/>
      <c r="EL17" s="34"/>
      <c r="EM17" s="34"/>
      <c r="EN17" s="34"/>
      <c r="EO17" s="34"/>
      <c r="EP17" s="34"/>
      <c r="EQ17" s="34"/>
      <c r="ER17" s="34"/>
      <c r="ES17" s="34"/>
      <c r="ET17" s="34"/>
      <c r="EU17" s="34"/>
      <c r="EV17" s="34"/>
      <c r="EW17" s="34"/>
      <c r="EX17" s="34"/>
      <c r="EY17" s="34"/>
      <c r="EZ17" s="34"/>
      <c r="FA17" s="34"/>
      <c r="FB17" s="34"/>
      <c r="FC17" s="34"/>
      <c r="FD17" s="34"/>
      <c r="FE17" s="34"/>
      <c r="FF17" s="34"/>
      <c r="FG17" s="34"/>
      <c r="FH17" s="34"/>
      <c r="FI17" s="34"/>
      <c r="FJ17" s="34"/>
    </row>
    <row r="18" spans="2:166" x14ac:dyDescent="0.25">
      <c r="B18" s="19">
        <v>15</v>
      </c>
      <c r="C18" s="27" t="s">
        <v>166</v>
      </c>
      <c r="D18" s="29">
        <f t="shared" si="45"/>
        <v>0.7142857142857143</v>
      </c>
      <c r="E18" s="31">
        <v>13</v>
      </c>
      <c r="F18" s="25">
        <v>45811</v>
      </c>
      <c r="G18" s="25">
        <v>45815</v>
      </c>
      <c r="H18" s="26">
        <v>5</v>
      </c>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5"/>
      <c r="AM18" s="35"/>
      <c r="AN18" s="35"/>
      <c r="AO18" s="35"/>
      <c r="AP18" s="37"/>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c r="DE18" s="34"/>
      <c r="DF18" s="34"/>
      <c r="DG18" s="34"/>
      <c r="DH18" s="34"/>
      <c r="DI18" s="34"/>
      <c r="DJ18" s="34"/>
      <c r="DK18" s="34"/>
      <c r="DL18" s="34"/>
      <c r="DM18" s="34"/>
      <c r="DN18" s="34"/>
      <c r="DO18" s="34"/>
      <c r="DP18" s="34"/>
      <c r="DQ18" s="34"/>
      <c r="DR18" s="34"/>
      <c r="DS18" s="34"/>
      <c r="DT18" s="34"/>
      <c r="DU18" s="34"/>
      <c r="DV18" s="34"/>
      <c r="DW18" s="34"/>
      <c r="DX18" s="34"/>
      <c r="DY18" s="34"/>
      <c r="DZ18" s="34"/>
      <c r="EA18" s="34"/>
      <c r="EB18" s="34"/>
      <c r="EC18" s="34"/>
      <c r="ED18" s="34"/>
      <c r="EE18" s="34"/>
      <c r="EF18" s="34"/>
      <c r="EG18" s="34"/>
      <c r="EH18" s="34"/>
      <c r="EI18" s="34"/>
      <c r="EJ18" s="34"/>
      <c r="EK18" s="34"/>
      <c r="EL18" s="34"/>
      <c r="EM18" s="34"/>
      <c r="EN18" s="34"/>
      <c r="EO18" s="34"/>
      <c r="EP18" s="34"/>
      <c r="EQ18" s="34"/>
      <c r="ER18" s="34"/>
      <c r="ES18" s="34"/>
      <c r="ET18" s="34"/>
      <c r="EU18" s="34"/>
      <c r="EV18" s="34"/>
      <c r="EW18" s="34"/>
      <c r="EX18" s="34"/>
      <c r="EY18" s="34"/>
      <c r="EZ18" s="34"/>
      <c r="FA18" s="34"/>
      <c r="FB18" s="34"/>
      <c r="FC18" s="34"/>
      <c r="FD18" s="34"/>
      <c r="FE18" s="34"/>
      <c r="FF18" s="34"/>
      <c r="FG18" s="34"/>
      <c r="FH18" s="34"/>
      <c r="FI18" s="34"/>
      <c r="FJ18" s="34"/>
    </row>
    <row r="19" spans="2:166" x14ac:dyDescent="0.25">
      <c r="B19" s="19">
        <v>16</v>
      </c>
      <c r="C19" s="27" t="s">
        <v>167</v>
      </c>
      <c r="D19" s="29">
        <f t="shared" si="45"/>
        <v>0.7142857142857143</v>
      </c>
      <c r="E19" s="31">
        <v>13</v>
      </c>
      <c r="F19" s="25">
        <v>45811</v>
      </c>
      <c r="G19" s="25">
        <v>45815</v>
      </c>
      <c r="H19" s="26">
        <v>5</v>
      </c>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9"/>
      <c r="AM19" s="35"/>
      <c r="AN19" s="35"/>
      <c r="AO19" s="35"/>
      <c r="AP19" s="37"/>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4"/>
      <c r="EL19" s="34"/>
      <c r="EM19" s="34"/>
      <c r="EN19" s="34"/>
      <c r="EO19" s="34"/>
      <c r="EP19" s="34"/>
      <c r="EQ19" s="34"/>
      <c r="ER19" s="34"/>
      <c r="ES19" s="34"/>
      <c r="ET19" s="34"/>
      <c r="EU19" s="34"/>
      <c r="EV19" s="34"/>
      <c r="EW19" s="34"/>
      <c r="EX19" s="34"/>
      <c r="EY19" s="34"/>
      <c r="EZ19" s="34"/>
      <c r="FA19" s="34"/>
      <c r="FB19" s="34"/>
      <c r="FC19" s="34"/>
      <c r="FD19" s="34"/>
      <c r="FE19" s="34"/>
      <c r="FF19" s="34"/>
      <c r="FG19" s="34"/>
      <c r="FH19" s="34"/>
      <c r="FI19" s="34"/>
      <c r="FJ19" s="34"/>
    </row>
    <row r="20" spans="2:166" x14ac:dyDescent="0.25">
      <c r="B20" s="19">
        <v>17</v>
      </c>
      <c r="C20" s="27" t="s">
        <v>168</v>
      </c>
      <c r="D20" s="29">
        <f t="shared" si="45"/>
        <v>0.7142857142857143</v>
      </c>
      <c r="E20" s="31" t="s">
        <v>225</v>
      </c>
      <c r="F20" s="25">
        <v>45816</v>
      </c>
      <c r="G20" s="25">
        <v>45820</v>
      </c>
      <c r="H20" s="26">
        <v>5</v>
      </c>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5"/>
      <c r="AR20" s="35"/>
      <c r="AS20" s="35"/>
      <c r="AT20" s="35"/>
      <c r="AU20" s="37"/>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c r="DE20" s="34"/>
      <c r="DF20" s="34"/>
      <c r="DG20" s="34"/>
      <c r="DH20" s="34"/>
      <c r="DI20" s="34"/>
      <c r="DJ20" s="34"/>
      <c r="DK20" s="34"/>
      <c r="DL20" s="34"/>
      <c r="DM20" s="34"/>
      <c r="DN20" s="34"/>
      <c r="DO20" s="34"/>
      <c r="DP20" s="34"/>
      <c r="DQ20" s="34"/>
      <c r="DR20" s="34"/>
      <c r="DS20" s="34"/>
      <c r="DT20" s="34"/>
      <c r="DU20" s="34"/>
      <c r="DV20" s="34"/>
      <c r="DW20" s="34"/>
      <c r="DX20" s="34"/>
      <c r="DY20" s="34"/>
      <c r="DZ20" s="34"/>
      <c r="EA20" s="34"/>
      <c r="EB20" s="34"/>
      <c r="EC20" s="34"/>
      <c r="ED20" s="34"/>
      <c r="EE20" s="34"/>
      <c r="EF20" s="34"/>
      <c r="EG20" s="34"/>
      <c r="EH20" s="34"/>
      <c r="EI20" s="34"/>
      <c r="EJ20" s="34"/>
      <c r="EK20" s="34"/>
      <c r="EL20" s="34"/>
      <c r="EM20" s="34"/>
      <c r="EN20" s="34"/>
      <c r="EO20" s="34"/>
      <c r="EP20" s="34"/>
      <c r="EQ20" s="34"/>
      <c r="ER20" s="34"/>
      <c r="ES20" s="34"/>
      <c r="ET20" s="34"/>
      <c r="EU20" s="34"/>
      <c r="EV20" s="34"/>
      <c r="EW20" s="34"/>
      <c r="EX20" s="34"/>
      <c r="EY20" s="34"/>
      <c r="EZ20" s="34"/>
      <c r="FA20" s="34"/>
      <c r="FB20" s="34"/>
      <c r="FC20" s="34"/>
      <c r="FD20" s="34"/>
      <c r="FE20" s="34"/>
      <c r="FF20" s="34"/>
      <c r="FG20" s="34"/>
      <c r="FH20" s="34"/>
      <c r="FI20" s="34"/>
      <c r="FJ20" s="34"/>
    </row>
    <row r="21" spans="2:166" x14ac:dyDescent="0.25">
      <c r="B21" s="19">
        <v>18</v>
      </c>
      <c r="C21" s="27" t="s">
        <v>169</v>
      </c>
      <c r="D21" s="29">
        <f t="shared" si="45"/>
        <v>0.7142857142857143</v>
      </c>
      <c r="E21" s="31" t="s">
        <v>225</v>
      </c>
      <c r="F21" s="25">
        <v>45816</v>
      </c>
      <c r="G21" s="25">
        <v>45820</v>
      </c>
      <c r="H21" s="26">
        <v>5</v>
      </c>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9"/>
      <c r="AR21" s="35"/>
      <c r="AS21" s="35"/>
      <c r="AT21" s="35"/>
      <c r="AU21" s="37"/>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c r="DE21" s="34"/>
      <c r="DF21" s="34"/>
      <c r="DG21" s="34"/>
      <c r="DH21" s="34"/>
      <c r="DI21" s="34"/>
      <c r="DJ21" s="34"/>
      <c r="DK21" s="34"/>
      <c r="DL21" s="34"/>
      <c r="DM21" s="34"/>
      <c r="DN21" s="34"/>
      <c r="DO21" s="34"/>
      <c r="DP21" s="34"/>
      <c r="DQ21" s="34"/>
      <c r="DR21" s="34"/>
      <c r="DS21" s="34"/>
      <c r="DT21" s="34"/>
      <c r="DU21" s="34"/>
      <c r="DV21" s="34"/>
      <c r="DW21" s="34"/>
      <c r="DX21" s="34"/>
      <c r="DY21" s="34"/>
      <c r="DZ21" s="34"/>
      <c r="EA21" s="34"/>
      <c r="EB21" s="34"/>
      <c r="EC21" s="34"/>
      <c r="ED21" s="34"/>
      <c r="EE21" s="34"/>
      <c r="EF21" s="34"/>
      <c r="EG21" s="34"/>
      <c r="EH21" s="34"/>
      <c r="EI21" s="34"/>
      <c r="EJ21" s="34"/>
      <c r="EK21" s="34"/>
      <c r="EL21" s="34"/>
      <c r="EM21" s="34"/>
      <c r="EN21" s="34"/>
      <c r="EO21" s="34"/>
      <c r="EP21" s="34"/>
      <c r="EQ21" s="34"/>
      <c r="ER21" s="34"/>
      <c r="ES21" s="34"/>
      <c r="ET21" s="34"/>
      <c r="EU21" s="34"/>
      <c r="EV21" s="34"/>
      <c r="EW21" s="34"/>
      <c r="EX21" s="34"/>
      <c r="EY21" s="34"/>
      <c r="EZ21" s="34"/>
      <c r="FA21" s="34"/>
      <c r="FB21" s="34"/>
      <c r="FC21" s="34"/>
      <c r="FD21" s="34"/>
      <c r="FE21" s="34"/>
      <c r="FF21" s="34"/>
      <c r="FG21" s="34"/>
      <c r="FH21" s="34"/>
      <c r="FI21" s="34"/>
      <c r="FJ21" s="34"/>
    </row>
    <row r="22" spans="2:166" x14ac:dyDescent="0.25">
      <c r="B22" s="19">
        <v>19</v>
      </c>
      <c r="C22" s="27" t="s">
        <v>170</v>
      </c>
      <c r="D22" s="29">
        <f t="shared" si="45"/>
        <v>0.7142857142857143</v>
      </c>
      <c r="E22" s="31" t="s">
        <v>226</v>
      </c>
      <c r="F22" s="25">
        <v>45821</v>
      </c>
      <c r="G22" s="25">
        <v>45825</v>
      </c>
      <c r="H22" s="26">
        <v>5</v>
      </c>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5"/>
      <c r="AW22" s="35"/>
      <c r="AX22" s="35"/>
      <c r="AY22" s="35"/>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4"/>
      <c r="EL22" s="34"/>
      <c r="EM22" s="34"/>
      <c r="EN22" s="34"/>
      <c r="EO22" s="34"/>
      <c r="EP22" s="34"/>
      <c r="EQ22" s="34"/>
      <c r="ER22" s="34"/>
      <c r="ES22" s="34"/>
      <c r="ET22" s="34"/>
      <c r="EU22" s="34"/>
      <c r="EV22" s="34"/>
      <c r="EW22" s="34"/>
      <c r="EX22" s="34"/>
      <c r="EY22" s="34"/>
      <c r="EZ22" s="34"/>
      <c r="FA22" s="34"/>
      <c r="FB22" s="34"/>
      <c r="FC22" s="34"/>
      <c r="FD22" s="34"/>
      <c r="FE22" s="34"/>
      <c r="FF22" s="34"/>
      <c r="FG22" s="34"/>
      <c r="FH22" s="34"/>
      <c r="FI22" s="34"/>
      <c r="FJ22" s="34"/>
    </row>
    <row r="23" spans="2:166" x14ac:dyDescent="0.25">
      <c r="B23" s="19">
        <v>20</v>
      </c>
      <c r="C23" s="27" t="s">
        <v>206</v>
      </c>
      <c r="D23" s="29">
        <f t="shared" si="45"/>
        <v>0.7142857142857143</v>
      </c>
      <c r="E23" s="31" t="s">
        <v>226</v>
      </c>
      <c r="F23" s="25">
        <v>45821</v>
      </c>
      <c r="G23" s="25">
        <v>45825</v>
      </c>
      <c r="H23" s="26">
        <v>5</v>
      </c>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9"/>
      <c r="AW23" s="35"/>
      <c r="AX23" s="35"/>
      <c r="AY23" s="35"/>
      <c r="AZ23" s="37"/>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c r="DE23" s="34"/>
      <c r="DF23" s="34"/>
      <c r="DG23" s="34"/>
      <c r="DH23" s="34"/>
      <c r="DI23" s="34"/>
      <c r="DJ23" s="34"/>
      <c r="DK23" s="34"/>
      <c r="DL23" s="34"/>
      <c r="DM23" s="34"/>
      <c r="DN23" s="34"/>
      <c r="DO23" s="34"/>
      <c r="DP23" s="34"/>
      <c r="DQ23" s="34"/>
      <c r="DR23" s="34"/>
      <c r="DS23" s="34"/>
      <c r="DT23" s="34"/>
      <c r="DU23" s="34"/>
      <c r="DV23" s="34"/>
      <c r="DW23" s="34"/>
      <c r="DX23" s="34"/>
      <c r="DY23" s="34"/>
      <c r="DZ23" s="34"/>
      <c r="EA23" s="34"/>
      <c r="EB23" s="34"/>
      <c r="EC23" s="34"/>
      <c r="ED23" s="34"/>
      <c r="EE23" s="34"/>
      <c r="EF23" s="34"/>
      <c r="EG23" s="34"/>
      <c r="EH23" s="34"/>
      <c r="EI23" s="34"/>
      <c r="EJ23" s="34"/>
      <c r="EK23" s="34"/>
      <c r="EL23" s="34"/>
      <c r="EM23" s="34"/>
      <c r="EN23" s="34"/>
      <c r="EO23" s="34"/>
      <c r="EP23" s="34"/>
      <c r="EQ23" s="34"/>
      <c r="ER23" s="34"/>
      <c r="ES23" s="34"/>
      <c r="ET23" s="34"/>
      <c r="EU23" s="34"/>
      <c r="EV23" s="34"/>
      <c r="EW23" s="34"/>
      <c r="EX23" s="34"/>
      <c r="EY23" s="34"/>
      <c r="EZ23" s="34"/>
      <c r="FA23" s="34"/>
      <c r="FB23" s="34"/>
      <c r="FC23" s="34"/>
      <c r="FD23" s="34"/>
      <c r="FE23" s="34"/>
      <c r="FF23" s="34"/>
      <c r="FG23" s="34"/>
      <c r="FH23" s="34"/>
      <c r="FI23" s="34"/>
      <c r="FJ23" s="34"/>
    </row>
    <row r="24" spans="2:166" x14ac:dyDescent="0.25">
      <c r="B24" s="19">
        <v>21</v>
      </c>
      <c r="C24" s="22" t="s">
        <v>217</v>
      </c>
      <c r="D24" s="29">
        <f t="shared" si="45"/>
        <v>0</v>
      </c>
      <c r="E24" s="31"/>
      <c r="F24" s="25"/>
      <c r="G24" s="25"/>
      <c r="H24" s="26"/>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c r="DE24" s="34"/>
      <c r="DF24" s="34"/>
      <c r="DG24" s="34"/>
      <c r="DH24" s="34"/>
      <c r="DI24" s="34"/>
      <c r="DJ24" s="34"/>
      <c r="DK24" s="34"/>
      <c r="DL24" s="34"/>
      <c r="DM24" s="34"/>
      <c r="DN24" s="34"/>
      <c r="DO24" s="34"/>
      <c r="DP24" s="34"/>
      <c r="DQ24" s="34"/>
      <c r="DR24" s="34"/>
      <c r="DS24" s="34"/>
      <c r="DT24" s="34"/>
      <c r="DU24" s="34"/>
      <c r="DV24" s="34"/>
      <c r="DW24" s="34"/>
      <c r="DX24" s="34"/>
      <c r="DY24" s="34"/>
      <c r="DZ24" s="34"/>
      <c r="EA24" s="34"/>
      <c r="EB24" s="34"/>
      <c r="EC24" s="34"/>
      <c r="ED24" s="34"/>
      <c r="EE24" s="34"/>
      <c r="EF24" s="34"/>
      <c r="EG24" s="34"/>
      <c r="EH24" s="34"/>
      <c r="EI24" s="34"/>
      <c r="EJ24" s="34"/>
      <c r="EK24" s="34"/>
      <c r="EL24" s="34"/>
      <c r="EM24" s="34"/>
      <c r="EN24" s="34"/>
      <c r="EO24" s="34"/>
      <c r="EP24" s="34"/>
      <c r="EQ24" s="34"/>
      <c r="ER24" s="34"/>
      <c r="ES24" s="34"/>
      <c r="ET24" s="34"/>
      <c r="EU24" s="34"/>
      <c r="EV24" s="34"/>
      <c r="EW24" s="34"/>
      <c r="EX24" s="34"/>
      <c r="EY24" s="34"/>
      <c r="EZ24" s="34"/>
      <c r="FA24" s="34"/>
      <c r="FB24" s="34"/>
      <c r="FC24" s="34"/>
      <c r="FD24" s="34"/>
      <c r="FE24" s="34"/>
      <c r="FF24" s="34"/>
      <c r="FG24" s="34"/>
      <c r="FH24" s="34"/>
      <c r="FI24" s="34"/>
      <c r="FJ24" s="34"/>
    </row>
    <row r="25" spans="2:166" x14ac:dyDescent="0.25">
      <c r="B25" s="19">
        <v>22</v>
      </c>
      <c r="C25" s="27" t="s">
        <v>171</v>
      </c>
      <c r="D25" s="29">
        <f t="shared" si="45"/>
        <v>0.14285714285714285</v>
      </c>
      <c r="E25" s="31">
        <v>20</v>
      </c>
      <c r="F25" s="25">
        <v>45826</v>
      </c>
      <c r="G25" s="25">
        <v>45826</v>
      </c>
      <c r="H25" s="26">
        <v>1</v>
      </c>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40"/>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4"/>
      <c r="EL25" s="34"/>
      <c r="EM25" s="34"/>
      <c r="EN25" s="34"/>
      <c r="EO25" s="34"/>
      <c r="EP25" s="34"/>
      <c r="EQ25" s="34"/>
      <c r="ER25" s="34"/>
      <c r="ES25" s="34"/>
      <c r="ET25" s="34"/>
      <c r="EU25" s="34"/>
      <c r="EV25" s="34"/>
      <c r="EW25" s="34"/>
      <c r="EX25" s="34"/>
      <c r="EY25" s="34"/>
      <c r="EZ25" s="34"/>
      <c r="FA25" s="34"/>
      <c r="FB25" s="34"/>
      <c r="FC25" s="34"/>
      <c r="FD25" s="34"/>
      <c r="FE25" s="34"/>
      <c r="FF25" s="34"/>
      <c r="FG25" s="34"/>
      <c r="FH25" s="34"/>
      <c r="FI25" s="34"/>
      <c r="FJ25" s="34"/>
    </row>
    <row r="26" spans="2:166" x14ac:dyDescent="0.25">
      <c r="B26" s="19">
        <v>23</v>
      </c>
      <c r="C26" s="27" t="s">
        <v>207</v>
      </c>
      <c r="D26" s="29">
        <f t="shared" si="45"/>
        <v>0.5714285714285714</v>
      </c>
      <c r="E26" s="31">
        <v>22</v>
      </c>
      <c r="F26" s="25">
        <v>45827</v>
      </c>
      <c r="G26" s="25">
        <v>45830</v>
      </c>
      <c r="H26" s="26">
        <v>4</v>
      </c>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5"/>
      <c r="BC26" s="35"/>
      <c r="BD26" s="35"/>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c r="EO26" s="34"/>
      <c r="EP26" s="34"/>
      <c r="EQ26" s="34"/>
      <c r="ER26" s="34"/>
      <c r="ES26" s="34"/>
      <c r="ET26" s="34"/>
      <c r="EU26" s="34"/>
      <c r="EV26" s="34"/>
      <c r="EW26" s="34"/>
      <c r="EX26" s="34"/>
      <c r="EY26" s="34"/>
      <c r="EZ26" s="34"/>
      <c r="FA26" s="34"/>
      <c r="FB26" s="34"/>
      <c r="FC26" s="34"/>
      <c r="FD26" s="34"/>
      <c r="FE26" s="34"/>
      <c r="FF26" s="34"/>
      <c r="FG26" s="34"/>
      <c r="FH26" s="34"/>
      <c r="FI26" s="34"/>
      <c r="FJ26" s="34"/>
    </row>
    <row r="27" spans="2:166" x14ac:dyDescent="0.25">
      <c r="B27" s="19">
        <v>24</v>
      </c>
      <c r="C27" s="27" t="s">
        <v>172</v>
      </c>
      <c r="D27" s="29">
        <f t="shared" si="45"/>
        <v>0.5714285714285714</v>
      </c>
      <c r="E27" s="31">
        <v>22</v>
      </c>
      <c r="F27" s="25">
        <v>45827</v>
      </c>
      <c r="G27" s="25">
        <v>45830</v>
      </c>
      <c r="H27" s="26">
        <v>4</v>
      </c>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9"/>
      <c r="BC27" s="35"/>
      <c r="BD27" s="35"/>
      <c r="BE27" s="37"/>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c r="EO27" s="34"/>
      <c r="EP27" s="34"/>
      <c r="EQ27" s="34"/>
      <c r="ER27" s="34"/>
      <c r="ES27" s="34"/>
      <c r="ET27" s="34"/>
      <c r="EU27" s="34"/>
      <c r="EV27" s="34"/>
      <c r="EW27" s="34"/>
      <c r="EX27" s="34"/>
      <c r="EY27" s="34"/>
      <c r="EZ27" s="34"/>
      <c r="FA27" s="34"/>
      <c r="FB27" s="34"/>
      <c r="FC27" s="34"/>
      <c r="FD27" s="34"/>
      <c r="FE27" s="34"/>
      <c r="FF27" s="34"/>
      <c r="FG27" s="34"/>
      <c r="FH27" s="34"/>
      <c r="FI27" s="34"/>
      <c r="FJ27" s="34"/>
    </row>
    <row r="28" spans="2:166" x14ac:dyDescent="0.25">
      <c r="B28" s="19">
        <v>25</v>
      </c>
      <c r="C28" s="22" t="s">
        <v>218</v>
      </c>
      <c r="D28" s="29">
        <f t="shared" si="45"/>
        <v>0</v>
      </c>
      <c r="E28" s="31"/>
      <c r="F28" s="25"/>
      <c r="G28" s="25"/>
      <c r="H28" s="26"/>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c r="DC28" s="34"/>
      <c r="DD28" s="34"/>
      <c r="DE28" s="34"/>
      <c r="DF28" s="34"/>
      <c r="DG28" s="34"/>
      <c r="DH28" s="34"/>
      <c r="DI28" s="34"/>
      <c r="DJ28" s="34"/>
      <c r="DK28" s="34"/>
      <c r="DL28" s="34"/>
      <c r="DM28" s="34"/>
      <c r="DN28" s="34"/>
      <c r="DO28" s="34"/>
      <c r="DP28" s="34"/>
      <c r="DQ28" s="34"/>
      <c r="DR28" s="34"/>
      <c r="DS28" s="34"/>
      <c r="DT28" s="34"/>
      <c r="DU28" s="34"/>
      <c r="DV28" s="34"/>
      <c r="DW28" s="34"/>
      <c r="DX28" s="34"/>
      <c r="DY28" s="34"/>
      <c r="DZ28" s="34"/>
      <c r="EA28" s="34"/>
      <c r="EB28" s="34"/>
      <c r="EC28" s="34"/>
      <c r="ED28" s="34"/>
      <c r="EE28" s="34"/>
      <c r="EF28" s="34"/>
      <c r="EG28" s="34"/>
      <c r="EH28" s="34"/>
      <c r="EI28" s="34"/>
      <c r="EJ28" s="34"/>
      <c r="EK28" s="34"/>
      <c r="EL28" s="34"/>
      <c r="EM28" s="34"/>
      <c r="EN28" s="34"/>
      <c r="EO28" s="34"/>
      <c r="EP28" s="34"/>
      <c r="EQ28" s="34"/>
      <c r="ER28" s="34"/>
      <c r="ES28" s="34"/>
      <c r="ET28" s="34"/>
      <c r="EU28" s="34"/>
      <c r="EV28" s="34"/>
      <c r="EW28" s="34"/>
      <c r="EX28" s="34"/>
      <c r="EY28" s="34"/>
      <c r="EZ28" s="34"/>
      <c r="FA28" s="34"/>
      <c r="FB28" s="34"/>
      <c r="FC28" s="34"/>
      <c r="FD28" s="34"/>
      <c r="FE28" s="34"/>
      <c r="FF28" s="34"/>
      <c r="FG28" s="34"/>
      <c r="FH28" s="34"/>
      <c r="FI28" s="34"/>
      <c r="FJ28" s="34"/>
    </row>
    <row r="29" spans="2:166" x14ac:dyDescent="0.25">
      <c r="B29" s="19">
        <v>26</v>
      </c>
      <c r="C29" s="27" t="s">
        <v>209</v>
      </c>
      <c r="D29" s="29">
        <f t="shared" si="45"/>
        <v>0.7142857142857143</v>
      </c>
      <c r="E29" s="31">
        <v>24</v>
      </c>
      <c r="F29" s="25">
        <v>45831</v>
      </c>
      <c r="G29" s="25">
        <v>45835</v>
      </c>
      <c r="H29" s="26">
        <v>5</v>
      </c>
      <c r="I29" s="34"/>
      <c r="J29" s="34"/>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8"/>
      <c r="BG29" s="35"/>
      <c r="BH29" s="35"/>
      <c r="BI29" s="35"/>
      <c r="BJ29" s="37"/>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c r="DC29" s="34"/>
      <c r="DD29" s="34"/>
      <c r="DE29" s="34"/>
      <c r="DF29" s="34"/>
      <c r="DG29" s="34"/>
      <c r="DH29" s="34"/>
      <c r="DI29" s="34"/>
      <c r="DJ29" s="34"/>
      <c r="DK29" s="34"/>
      <c r="DL29" s="34"/>
      <c r="DM29" s="34"/>
      <c r="DN29" s="34"/>
      <c r="DO29" s="34"/>
      <c r="DP29" s="34"/>
      <c r="DQ29" s="34"/>
      <c r="DR29" s="34"/>
      <c r="DS29" s="34"/>
      <c r="DT29" s="34"/>
      <c r="DU29" s="34"/>
      <c r="DV29" s="34"/>
      <c r="DW29" s="34"/>
      <c r="DX29" s="34"/>
      <c r="DY29" s="34"/>
      <c r="DZ29" s="34"/>
      <c r="EA29" s="34"/>
      <c r="EB29" s="34"/>
      <c r="EC29" s="34"/>
      <c r="ED29" s="34"/>
      <c r="EE29" s="34"/>
      <c r="EF29" s="34"/>
      <c r="EG29" s="34"/>
      <c r="EH29" s="34"/>
      <c r="EI29" s="34"/>
      <c r="EJ29" s="34"/>
      <c r="EK29" s="34"/>
      <c r="EL29" s="34"/>
      <c r="EM29" s="34"/>
      <c r="EN29" s="34"/>
      <c r="EO29" s="34"/>
      <c r="EP29" s="34"/>
      <c r="EQ29" s="34"/>
      <c r="ER29" s="34"/>
      <c r="ES29" s="34"/>
      <c r="ET29" s="34"/>
      <c r="EU29" s="34"/>
      <c r="EV29" s="34"/>
      <c r="EW29" s="34"/>
      <c r="EX29" s="34"/>
      <c r="EY29" s="34"/>
      <c r="EZ29" s="34"/>
      <c r="FA29" s="34"/>
      <c r="FB29" s="34"/>
      <c r="FC29" s="34"/>
      <c r="FD29" s="34"/>
      <c r="FE29" s="34"/>
      <c r="FF29" s="34"/>
      <c r="FG29" s="34"/>
      <c r="FH29" s="34"/>
      <c r="FI29" s="34"/>
      <c r="FJ29" s="34"/>
    </row>
    <row r="30" spans="2:166" ht="30" x14ac:dyDescent="0.25">
      <c r="B30" s="19">
        <v>27</v>
      </c>
      <c r="C30" s="27" t="s">
        <v>212</v>
      </c>
      <c r="D30" s="29">
        <f t="shared" si="45"/>
        <v>0.7142857142857143</v>
      </c>
      <c r="E30" s="31">
        <v>26</v>
      </c>
      <c r="F30" s="25">
        <v>45836</v>
      </c>
      <c r="G30" s="25">
        <v>45840</v>
      </c>
      <c r="H30" s="26">
        <v>5</v>
      </c>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5"/>
      <c r="BL30" s="35"/>
      <c r="BM30" s="35"/>
      <c r="BN30" s="35"/>
      <c r="BO30" s="37"/>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c r="DC30" s="34"/>
      <c r="DD30" s="34"/>
      <c r="DE30" s="34"/>
      <c r="DF30" s="34"/>
      <c r="DG30" s="34"/>
      <c r="DH30" s="34"/>
      <c r="DI30" s="34"/>
      <c r="DJ30" s="34"/>
      <c r="DK30" s="34"/>
      <c r="DL30" s="34"/>
      <c r="DM30" s="34"/>
      <c r="DN30" s="34"/>
      <c r="DO30" s="34"/>
      <c r="DP30" s="34"/>
      <c r="DQ30" s="34"/>
      <c r="DR30" s="34"/>
      <c r="DS30" s="34"/>
      <c r="DT30" s="34"/>
      <c r="DU30" s="34"/>
      <c r="DV30" s="34"/>
      <c r="DW30" s="34"/>
      <c r="DX30" s="34"/>
      <c r="DY30" s="34"/>
      <c r="DZ30" s="34"/>
      <c r="EA30" s="34"/>
      <c r="EB30" s="34"/>
      <c r="EC30" s="34"/>
      <c r="ED30" s="34"/>
      <c r="EE30" s="34"/>
      <c r="EF30" s="34"/>
      <c r="EG30" s="34"/>
      <c r="EH30" s="34"/>
      <c r="EI30" s="34"/>
      <c r="EJ30" s="34"/>
      <c r="EK30" s="34"/>
      <c r="EL30" s="34"/>
      <c r="EM30" s="34"/>
      <c r="EN30" s="34"/>
      <c r="EO30" s="34"/>
      <c r="EP30" s="34"/>
      <c r="EQ30" s="34"/>
      <c r="ER30" s="34"/>
      <c r="ES30" s="34"/>
      <c r="ET30" s="34"/>
      <c r="EU30" s="34"/>
      <c r="EV30" s="34"/>
      <c r="EW30" s="34"/>
      <c r="EX30" s="34"/>
      <c r="EY30" s="34"/>
      <c r="EZ30" s="34"/>
      <c r="FA30" s="34"/>
      <c r="FB30" s="34"/>
      <c r="FC30" s="34"/>
      <c r="FD30" s="34"/>
      <c r="FE30" s="34"/>
      <c r="FF30" s="34"/>
      <c r="FG30" s="34"/>
      <c r="FH30" s="34"/>
      <c r="FI30" s="34"/>
      <c r="FJ30" s="34"/>
    </row>
    <row r="31" spans="2:166" ht="30" x14ac:dyDescent="0.25">
      <c r="B31" s="19">
        <v>28</v>
      </c>
      <c r="C31" s="27" t="s">
        <v>208</v>
      </c>
      <c r="D31" s="29">
        <f t="shared" si="45"/>
        <v>0.7142857142857143</v>
      </c>
      <c r="E31" s="31">
        <v>26</v>
      </c>
      <c r="F31" s="25">
        <v>45836</v>
      </c>
      <c r="G31" s="25">
        <v>45840</v>
      </c>
      <c r="H31" s="26">
        <v>5</v>
      </c>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9"/>
      <c r="BL31" s="35"/>
      <c r="BM31" s="35"/>
      <c r="BN31" s="35"/>
      <c r="BO31" s="37"/>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c r="DC31" s="34"/>
      <c r="DD31" s="34"/>
      <c r="DE31" s="34"/>
      <c r="DF31" s="34"/>
      <c r="DG31" s="34"/>
      <c r="DH31" s="34"/>
      <c r="DI31" s="34"/>
      <c r="DJ31" s="34"/>
      <c r="DK31" s="34"/>
      <c r="DL31" s="34"/>
      <c r="DM31" s="34"/>
      <c r="DN31" s="34"/>
      <c r="DO31" s="34"/>
      <c r="DP31" s="34"/>
      <c r="DQ31" s="34"/>
      <c r="DR31" s="34"/>
      <c r="DS31" s="34"/>
      <c r="DT31" s="34"/>
      <c r="DU31" s="34"/>
      <c r="DV31" s="34"/>
      <c r="DW31" s="34"/>
      <c r="DX31" s="34"/>
      <c r="DY31" s="34"/>
      <c r="DZ31" s="34"/>
      <c r="EA31" s="34"/>
      <c r="EB31" s="34"/>
      <c r="EC31" s="34"/>
      <c r="ED31" s="34"/>
      <c r="EE31" s="34"/>
      <c r="EF31" s="34"/>
      <c r="EG31" s="34"/>
      <c r="EH31" s="34"/>
      <c r="EI31" s="34"/>
      <c r="EJ31" s="34"/>
      <c r="EK31" s="34"/>
      <c r="EL31" s="34"/>
      <c r="EM31" s="34"/>
      <c r="EN31" s="34"/>
      <c r="EO31" s="34"/>
      <c r="EP31" s="34"/>
      <c r="EQ31" s="34"/>
      <c r="ER31" s="34"/>
      <c r="ES31" s="34"/>
      <c r="ET31" s="34"/>
      <c r="EU31" s="34"/>
      <c r="EV31" s="34"/>
      <c r="EW31" s="34"/>
      <c r="EX31" s="34"/>
      <c r="EY31" s="34"/>
      <c r="EZ31" s="34"/>
      <c r="FA31" s="34"/>
      <c r="FB31" s="34"/>
      <c r="FC31" s="34"/>
      <c r="FD31" s="34"/>
      <c r="FE31" s="34"/>
      <c r="FF31" s="34"/>
      <c r="FG31" s="34"/>
      <c r="FH31" s="34"/>
      <c r="FI31" s="34"/>
      <c r="FJ31" s="34"/>
    </row>
    <row r="32" spans="2:166" ht="45" x14ac:dyDescent="0.25">
      <c r="B32" s="19">
        <v>29</v>
      </c>
      <c r="C32" s="27" t="s">
        <v>173</v>
      </c>
      <c r="D32" s="29">
        <f t="shared" si="45"/>
        <v>0.7142857142857143</v>
      </c>
      <c r="E32" s="31" t="s">
        <v>227</v>
      </c>
      <c r="F32" s="25">
        <v>45841</v>
      </c>
      <c r="G32" s="25">
        <v>45845</v>
      </c>
      <c r="H32" s="26">
        <v>5</v>
      </c>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5"/>
      <c r="BQ32" s="35"/>
      <c r="BR32" s="35"/>
      <c r="BS32" s="35"/>
      <c r="BT32" s="37"/>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c r="DC32" s="34"/>
      <c r="DD32" s="34"/>
      <c r="DE32" s="34"/>
      <c r="DF32" s="34"/>
      <c r="DG32" s="34"/>
      <c r="DH32" s="34"/>
      <c r="DI32" s="34"/>
      <c r="DJ32" s="34"/>
      <c r="DK32" s="34"/>
      <c r="DL32" s="34"/>
      <c r="DM32" s="34"/>
      <c r="DN32" s="34"/>
      <c r="DO32" s="34"/>
      <c r="DP32" s="34"/>
      <c r="DQ32" s="34"/>
      <c r="DR32" s="34"/>
      <c r="DS32" s="34"/>
      <c r="DT32" s="34"/>
      <c r="DU32" s="34"/>
      <c r="DV32" s="34"/>
      <c r="DW32" s="34"/>
      <c r="DX32" s="34"/>
      <c r="DY32" s="34"/>
      <c r="DZ32" s="34"/>
      <c r="EA32" s="34"/>
      <c r="EB32" s="34"/>
      <c r="EC32" s="34"/>
      <c r="ED32" s="34"/>
      <c r="EE32" s="34"/>
      <c r="EF32" s="34"/>
      <c r="EG32" s="34"/>
      <c r="EH32" s="34"/>
      <c r="EI32" s="34"/>
      <c r="EJ32" s="34"/>
      <c r="EK32" s="34"/>
      <c r="EL32" s="34"/>
      <c r="EM32" s="34"/>
      <c r="EN32" s="34"/>
      <c r="EO32" s="34"/>
      <c r="EP32" s="34"/>
      <c r="EQ32" s="34"/>
      <c r="ER32" s="34"/>
      <c r="ES32" s="34"/>
      <c r="ET32" s="34"/>
      <c r="EU32" s="34"/>
      <c r="EV32" s="34"/>
      <c r="EW32" s="34"/>
      <c r="EX32" s="34"/>
      <c r="EY32" s="34"/>
      <c r="EZ32" s="34"/>
      <c r="FA32" s="34"/>
      <c r="FB32" s="34"/>
      <c r="FC32" s="34"/>
      <c r="FD32" s="34"/>
      <c r="FE32" s="34"/>
      <c r="FF32" s="34"/>
      <c r="FG32" s="34"/>
      <c r="FH32" s="34"/>
      <c r="FI32" s="34"/>
      <c r="FJ32" s="34"/>
    </row>
    <row r="33" spans="2:166" x14ac:dyDescent="0.25">
      <c r="B33" s="19">
        <v>30</v>
      </c>
      <c r="C33" s="27" t="s">
        <v>174</v>
      </c>
      <c r="D33" s="29">
        <f t="shared" si="45"/>
        <v>0.7142857142857143</v>
      </c>
      <c r="E33" s="31" t="s">
        <v>227</v>
      </c>
      <c r="F33" s="25">
        <v>45841</v>
      </c>
      <c r="G33" s="25">
        <v>45845</v>
      </c>
      <c r="H33" s="26">
        <v>5</v>
      </c>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9"/>
      <c r="BQ33" s="35"/>
      <c r="BR33" s="35"/>
      <c r="BS33" s="35"/>
      <c r="BT33" s="37"/>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c r="DC33" s="34"/>
      <c r="DD33" s="34"/>
      <c r="DE33" s="34"/>
      <c r="DF33" s="34"/>
      <c r="DG33" s="34"/>
      <c r="DH33" s="34"/>
      <c r="DI33" s="34"/>
      <c r="DJ33" s="34"/>
      <c r="DK33" s="34"/>
      <c r="DL33" s="34"/>
      <c r="DM33" s="34"/>
      <c r="DN33" s="34"/>
      <c r="DO33" s="34"/>
      <c r="DP33" s="34"/>
      <c r="DQ33" s="34"/>
      <c r="DR33" s="34"/>
      <c r="DS33" s="34"/>
      <c r="DT33" s="34"/>
      <c r="DU33" s="34"/>
      <c r="DV33" s="34"/>
      <c r="DW33" s="34"/>
      <c r="DX33" s="34"/>
      <c r="DY33" s="34"/>
      <c r="DZ33" s="34"/>
      <c r="EA33" s="34"/>
      <c r="EB33" s="34"/>
      <c r="EC33" s="34"/>
      <c r="ED33" s="34"/>
      <c r="EE33" s="34"/>
      <c r="EF33" s="34"/>
      <c r="EG33" s="34"/>
      <c r="EH33" s="34"/>
      <c r="EI33" s="34"/>
      <c r="EJ33" s="34"/>
      <c r="EK33" s="34"/>
      <c r="EL33" s="34"/>
      <c r="EM33" s="34"/>
      <c r="EN33" s="34"/>
      <c r="EO33" s="34"/>
      <c r="EP33" s="34"/>
      <c r="EQ33" s="34"/>
      <c r="ER33" s="34"/>
      <c r="ES33" s="34"/>
      <c r="ET33" s="34"/>
      <c r="EU33" s="34"/>
      <c r="EV33" s="34"/>
      <c r="EW33" s="34"/>
      <c r="EX33" s="34"/>
      <c r="EY33" s="34"/>
      <c r="EZ33" s="34"/>
      <c r="FA33" s="34"/>
      <c r="FB33" s="34"/>
      <c r="FC33" s="34"/>
      <c r="FD33" s="34"/>
      <c r="FE33" s="34"/>
      <c r="FF33" s="34"/>
      <c r="FG33" s="34"/>
      <c r="FH33" s="34"/>
      <c r="FI33" s="34"/>
      <c r="FJ33" s="34"/>
    </row>
    <row r="34" spans="2:166" x14ac:dyDescent="0.25">
      <c r="B34" s="19">
        <v>31</v>
      </c>
      <c r="C34" s="27" t="s">
        <v>175</v>
      </c>
      <c r="D34" s="29">
        <f t="shared" si="45"/>
        <v>1</v>
      </c>
      <c r="E34" s="31" t="s">
        <v>228</v>
      </c>
      <c r="F34" s="25">
        <v>45846</v>
      </c>
      <c r="G34" s="25">
        <v>45852</v>
      </c>
      <c r="H34" s="26">
        <v>7</v>
      </c>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5"/>
      <c r="BV34" s="35"/>
      <c r="BW34" s="35"/>
      <c r="BX34" s="35"/>
      <c r="BY34" s="35"/>
      <c r="BZ34" s="35"/>
      <c r="CA34" s="37"/>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c r="DC34" s="34"/>
      <c r="DD34" s="34"/>
      <c r="DE34" s="34"/>
      <c r="DF34" s="34"/>
      <c r="DG34" s="34"/>
      <c r="DH34" s="34"/>
      <c r="DI34" s="34"/>
      <c r="DJ34" s="34"/>
      <c r="DK34" s="34"/>
      <c r="DL34" s="34"/>
      <c r="DM34" s="34"/>
      <c r="DN34" s="34"/>
      <c r="DO34" s="34"/>
      <c r="DP34" s="34"/>
      <c r="DQ34" s="34"/>
      <c r="DR34" s="34"/>
      <c r="DS34" s="34"/>
      <c r="DT34" s="34"/>
      <c r="DU34" s="34"/>
      <c r="DV34" s="34"/>
      <c r="DW34" s="34"/>
      <c r="DX34" s="34"/>
      <c r="DY34" s="34"/>
      <c r="DZ34" s="34"/>
      <c r="EA34" s="34"/>
      <c r="EB34" s="34"/>
      <c r="EC34" s="34"/>
      <c r="ED34" s="34"/>
      <c r="EE34" s="34"/>
      <c r="EF34" s="34"/>
      <c r="EG34" s="34"/>
      <c r="EH34" s="34"/>
      <c r="EI34" s="34"/>
      <c r="EJ34" s="34"/>
      <c r="EK34" s="34"/>
      <c r="EL34" s="34"/>
      <c r="EM34" s="34"/>
      <c r="EN34" s="34"/>
      <c r="EO34" s="34"/>
      <c r="EP34" s="34"/>
      <c r="EQ34" s="34"/>
      <c r="ER34" s="34"/>
      <c r="ES34" s="34"/>
      <c r="ET34" s="34"/>
      <c r="EU34" s="34"/>
      <c r="EV34" s="34"/>
      <c r="EW34" s="34"/>
      <c r="EX34" s="34"/>
      <c r="EY34" s="34"/>
      <c r="EZ34" s="34"/>
      <c r="FA34" s="34"/>
      <c r="FB34" s="34"/>
      <c r="FC34" s="34"/>
      <c r="FD34" s="34"/>
      <c r="FE34" s="34"/>
      <c r="FF34" s="34"/>
      <c r="FG34" s="34"/>
      <c r="FH34" s="34"/>
      <c r="FI34" s="34"/>
      <c r="FJ34" s="34"/>
    </row>
    <row r="35" spans="2:166" ht="30" x14ac:dyDescent="0.25">
      <c r="B35" s="19">
        <v>32</v>
      </c>
      <c r="C35" s="27" t="s">
        <v>176</v>
      </c>
      <c r="D35" s="29">
        <f t="shared" si="45"/>
        <v>1</v>
      </c>
      <c r="E35" s="31" t="s">
        <v>228</v>
      </c>
      <c r="F35" s="25">
        <v>45846</v>
      </c>
      <c r="G35" s="25">
        <v>45852</v>
      </c>
      <c r="H35" s="26">
        <v>7</v>
      </c>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9"/>
      <c r="BV35" s="35"/>
      <c r="BW35" s="35"/>
      <c r="BX35" s="35"/>
      <c r="BY35" s="35"/>
      <c r="BZ35" s="35"/>
      <c r="CA35" s="37"/>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row>
    <row r="36" spans="2:166" x14ac:dyDescent="0.25">
      <c r="B36" s="19">
        <v>33</v>
      </c>
      <c r="C36" s="27" t="s">
        <v>177</v>
      </c>
      <c r="D36" s="29">
        <f t="shared" si="45"/>
        <v>0.5714285714285714</v>
      </c>
      <c r="E36" s="31" t="s">
        <v>229</v>
      </c>
      <c r="F36" s="25">
        <v>45853</v>
      </c>
      <c r="G36" s="25">
        <v>45856</v>
      </c>
      <c r="H36" s="26">
        <v>4</v>
      </c>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8"/>
      <c r="CC36" s="35"/>
      <c r="CD36" s="35"/>
      <c r="CE36" s="37"/>
      <c r="CF36" s="34"/>
      <c r="CG36" s="34"/>
      <c r="CH36" s="34"/>
      <c r="CI36" s="34"/>
      <c r="CJ36" s="34"/>
      <c r="CK36" s="34"/>
      <c r="CL36" s="34"/>
      <c r="CM36" s="34"/>
      <c r="CN36" s="34"/>
      <c r="CO36" s="34"/>
      <c r="CP36" s="34"/>
      <c r="CQ36" s="34"/>
      <c r="CR36" s="34"/>
      <c r="CS36" s="34"/>
      <c r="CT36" s="34"/>
      <c r="CU36" s="34"/>
      <c r="CV36" s="34"/>
      <c r="CW36" s="34"/>
      <c r="CX36" s="34"/>
      <c r="CY36" s="34"/>
      <c r="CZ36" s="34"/>
      <c r="DA36" s="34"/>
      <c r="DB36" s="34"/>
      <c r="DC36" s="34"/>
      <c r="DD36" s="34"/>
      <c r="DE36" s="34"/>
      <c r="DF36" s="34"/>
      <c r="DG36" s="34"/>
      <c r="DH36" s="34"/>
      <c r="DI36" s="34"/>
      <c r="DJ36" s="34"/>
      <c r="DK36" s="34"/>
      <c r="DL36" s="34"/>
      <c r="DM36" s="34"/>
      <c r="DN36" s="34"/>
      <c r="DO36" s="34"/>
      <c r="DP36" s="34"/>
      <c r="DQ36" s="34"/>
      <c r="DR36" s="34"/>
      <c r="DS36" s="34"/>
      <c r="DT36" s="34"/>
      <c r="DU36" s="34"/>
      <c r="DV36" s="34"/>
      <c r="DW36" s="34"/>
      <c r="DX36" s="34"/>
      <c r="DY36" s="34"/>
      <c r="DZ36" s="34"/>
      <c r="EA36" s="34"/>
      <c r="EB36" s="34"/>
      <c r="EC36" s="34"/>
      <c r="ED36" s="34"/>
      <c r="EE36" s="34"/>
      <c r="EF36" s="34"/>
      <c r="EG36" s="34"/>
      <c r="EH36" s="34"/>
      <c r="EI36" s="34"/>
      <c r="EJ36" s="34"/>
      <c r="EK36" s="34"/>
      <c r="EL36" s="34"/>
      <c r="EM36" s="34"/>
      <c r="EN36" s="34"/>
      <c r="EO36" s="34"/>
      <c r="EP36" s="34"/>
      <c r="EQ36" s="34"/>
      <c r="ER36" s="34"/>
      <c r="ES36" s="34"/>
      <c r="ET36" s="34"/>
      <c r="EU36" s="34"/>
      <c r="EV36" s="34"/>
      <c r="EW36" s="34"/>
      <c r="EX36" s="34"/>
      <c r="EY36" s="34"/>
      <c r="EZ36" s="34"/>
      <c r="FA36" s="34"/>
      <c r="FB36" s="34"/>
      <c r="FC36" s="34"/>
      <c r="FD36" s="34"/>
      <c r="FE36" s="34"/>
      <c r="FF36" s="34"/>
      <c r="FG36" s="34"/>
      <c r="FH36" s="34"/>
      <c r="FI36" s="34"/>
      <c r="FJ36" s="34"/>
    </row>
    <row r="37" spans="2:166" x14ac:dyDescent="0.25">
      <c r="B37" s="19">
        <v>34</v>
      </c>
      <c r="C37" s="27" t="s">
        <v>178</v>
      </c>
      <c r="D37" s="29">
        <f t="shared" si="45"/>
        <v>0.7142857142857143</v>
      </c>
      <c r="E37" s="31">
        <v>33</v>
      </c>
      <c r="F37" s="25">
        <v>45857</v>
      </c>
      <c r="G37" s="25">
        <v>45861</v>
      </c>
      <c r="H37" s="26">
        <v>5</v>
      </c>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5"/>
      <c r="CG37" s="35"/>
      <c r="CH37" s="35"/>
      <c r="CI37" s="35"/>
      <c r="CJ37" s="34"/>
      <c r="CK37" s="34"/>
      <c r="CL37" s="34"/>
      <c r="CM37" s="34"/>
      <c r="CN37" s="34"/>
      <c r="CO37" s="34"/>
      <c r="CP37" s="34"/>
      <c r="CQ37" s="34"/>
      <c r="CR37" s="34"/>
      <c r="CS37" s="34"/>
      <c r="CT37" s="34"/>
      <c r="CU37" s="34"/>
      <c r="CV37" s="34"/>
      <c r="CW37" s="34"/>
      <c r="CX37" s="34"/>
      <c r="CY37" s="34"/>
      <c r="CZ37" s="34"/>
      <c r="DA37" s="34"/>
      <c r="DB37" s="34"/>
      <c r="DC37" s="34"/>
      <c r="DD37" s="34"/>
      <c r="DE37" s="34"/>
      <c r="DF37" s="34"/>
      <c r="DG37" s="34"/>
      <c r="DH37" s="34"/>
      <c r="DI37" s="34"/>
      <c r="DJ37" s="34"/>
      <c r="DK37" s="34"/>
      <c r="DL37" s="34"/>
      <c r="DM37" s="34"/>
      <c r="DN37" s="34"/>
      <c r="DO37" s="34"/>
      <c r="DP37" s="34"/>
      <c r="DQ37" s="34"/>
      <c r="DR37" s="34"/>
      <c r="DS37" s="34"/>
      <c r="DT37" s="34"/>
      <c r="DU37" s="34"/>
      <c r="DV37" s="34"/>
      <c r="DW37" s="34"/>
      <c r="DX37" s="34"/>
      <c r="DY37" s="34"/>
      <c r="DZ37" s="34"/>
      <c r="EA37" s="34"/>
      <c r="EB37" s="34"/>
      <c r="EC37" s="34"/>
      <c r="ED37" s="34"/>
      <c r="EE37" s="34"/>
      <c r="EF37" s="34"/>
      <c r="EG37" s="34"/>
      <c r="EH37" s="34"/>
      <c r="EI37" s="34"/>
      <c r="EJ37" s="34"/>
      <c r="EK37" s="34"/>
      <c r="EL37" s="34"/>
      <c r="EM37" s="34"/>
      <c r="EN37" s="34"/>
      <c r="EO37" s="34"/>
      <c r="EP37" s="34"/>
      <c r="EQ37" s="34"/>
      <c r="ER37" s="34"/>
      <c r="ES37" s="34"/>
      <c r="ET37" s="34"/>
      <c r="EU37" s="34"/>
      <c r="EV37" s="34"/>
      <c r="EW37" s="34"/>
      <c r="EX37" s="34"/>
      <c r="EY37" s="34"/>
      <c r="EZ37" s="34"/>
      <c r="FA37" s="34"/>
      <c r="FB37" s="34"/>
      <c r="FC37" s="34"/>
      <c r="FD37" s="34"/>
      <c r="FE37" s="34"/>
      <c r="FF37" s="34"/>
      <c r="FG37" s="34"/>
      <c r="FH37" s="34"/>
      <c r="FI37" s="34"/>
      <c r="FJ37" s="34"/>
    </row>
    <row r="38" spans="2:166" x14ac:dyDescent="0.25">
      <c r="B38" s="19">
        <v>35</v>
      </c>
      <c r="C38" s="27" t="s">
        <v>179</v>
      </c>
      <c r="D38" s="29">
        <f t="shared" si="45"/>
        <v>0.7142857142857143</v>
      </c>
      <c r="E38" s="31">
        <v>33</v>
      </c>
      <c r="F38" s="25">
        <v>45857</v>
      </c>
      <c r="G38" s="25">
        <v>45861</v>
      </c>
      <c r="H38" s="26">
        <v>5</v>
      </c>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9"/>
      <c r="CG38" s="35"/>
      <c r="CH38" s="35"/>
      <c r="CI38" s="35"/>
      <c r="CJ38" s="37"/>
      <c r="CK38" s="34"/>
      <c r="CL38" s="34"/>
      <c r="CM38" s="34"/>
      <c r="CN38" s="34"/>
      <c r="CO38" s="34"/>
      <c r="CP38" s="34"/>
      <c r="CQ38" s="34"/>
      <c r="CR38" s="34"/>
      <c r="CS38" s="34"/>
      <c r="CT38" s="34"/>
      <c r="CU38" s="34"/>
      <c r="CV38" s="34"/>
      <c r="CW38" s="34"/>
      <c r="CX38" s="34"/>
      <c r="CY38" s="34"/>
      <c r="CZ38" s="34"/>
      <c r="DA38" s="34"/>
      <c r="DB38" s="34"/>
      <c r="DC38" s="34"/>
      <c r="DD38" s="34"/>
      <c r="DE38" s="34"/>
      <c r="DF38" s="34"/>
      <c r="DG38" s="34"/>
      <c r="DH38" s="34"/>
      <c r="DI38" s="34"/>
      <c r="DJ38" s="34"/>
      <c r="DK38" s="34"/>
      <c r="DL38" s="34"/>
      <c r="DM38" s="34"/>
      <c r="DN38" s="34"/>
      <c r="DO38" s="34"/>
      <c r="DP38" s="34"/>
      <c r="DQ38" s="34"/>
      <c r="DR38" s="34"/>
      <c r="DS38" s="34"/>
      <c r="DT38" s="34"/>
      <c r="DU38" s="34"/>
      <c r="DV38" s="34"/>
      <c r="DW38" s="34"/>
      <c r="DX38" s="34"/>
      <c r="DY38" s="34"/>
      <c r="DZ38" s="34"/>
      <c r="EA38" s="34"/>
      <c r="EB38" s="34"/>
      <c r="EC38" s="34"/>
      <c r="ED38" s="34"/>
      <c r="EE38" s="34"/>
      <c r="EF38" s="34"/>
      <c r="EG38" s="34"/>
      <c r="EH38" s="34"/>
      <c r="EI38" s="34"/>
      <c r="EJ38" s="34"/>
      <c r="EK38" s="34"/>
      <c r="EL38" s="34"/>
      <c r="EM38" s="34"/>
      <c r="EN38" s="34"/>
      <c r="EO38" s="34"/>
      <c r="EP38" s="34"/>
      <c r="EQ38" s="34"/>
      <c r="ER38" s="34"/>
      <c r="ES38" s="34"/>
      <c r="ET38" s="34"/>
      <c r="EU38" s="34"/>
      <c r="EV38" s="34"/>
      <c r="EW38" s="34"/>
      <c r="EX38" s="34"/>
      <c r="EY38" s="34"/>
      <c r="EZ38" s="34"/>
      <c r="FA38" s="34"/>
      <c r="FB38" s="34"/>
      <c r="FC38" s="34"/>
      <c r="FD38" s="34"/>
      <c r="FE38" s="34"/>
      <c r="FF38" s="34"/>
      <c r="FG38" s="34"/>
      <c r="FH38" s="34"/>
      <c r="FI38" s="34"/>
      <c r="FJ38" s="34"/>
    </row>
    <row r="39" spans="2:166" x14ac:dyDescent="0.25">
      <c r="B39" s="19">
        <v>36</v>
      </c>
      <c r="C39" s="27" t="s">
        <v>180</v>
      </c>
      <c r="D39" s="29">
        <f t="shared" si="45"/>
        <v>0.7142857142857143</v>
      </c>
      <c r="E39" s="31">
        <v>35</v>
      </c>
      <c r="F39" s="25">
        <v>45862</v>
      </c>
      <c r="G39" s="25">
        <v>45866</v>
      </c>
      <c r="H39" s="26">
        <v>5</v>
      </c>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4"/>
      <c r="CG39" s="34"/>
      <c r="CH39" s="34"/>
      <c r="CI39" s="34"/>
      <c r="CJ39" s="34"/>
      <c r="CK39" s="35"/>
      <c r="CL39" s="35"/>
      <c r="CM39" s="35"/>
      <c r="CN39" s="35"/>
      <c r="CO39" s="37"/>
      <c r="CP39" s="34"/>
      <c r="CQ39" s="34"/>
      <c r="CR39" s="34"/>
      <c r="CS39" s="34"/>
      <c r="CT39" s="34"/>
      <c r="CU39" s="34"/>
      <c r="CV39" s="34"/>
      <c r="CW39" s="34"/>
      <c r="CX39" s="34"/>
      <c r="CY39" s="34"/>
      <c r="CZ39" s="34"/>
      <c r="DA39" s="34"/>
      <c r="DB39" s="34"/>
      <c r="DC39" s="34"/>
      <c r="DD39" s="34"/>
      <c r="DE39" s="34"/>
      <c r="DF39" s="34"/>
      <c r="DG39" s="34"/>
      <c r="DH39" s="34"/>
      <c r="DI39" s="34"/>
      <c r="DJ39" s="34"/>
      <c r="DK39" s="34"/>
      <c r="DL39" s="34"/>
      <c r="DM39" s="34"/>
      <c r="DN39" s="34"/>
      <c r="DO39" s="34"/>
      <c r="DP39" s="34"/>
      <c r="DQ39" s="34"/>
      <c r="DR39" s="34"/>
      <c r="DS39" s="34"/>
      <c r="DT39" s="34"/>
      <c r="DU39" s="34"/>
      <c r="DV39" s="34"/>
      <c r="DW39" s="34"/>
      <c r="DX39" s="34"/>
      <c r="DY39" s="34"/>
      <c r="DZ39" s="34"/>
      <c r="EA39" s="34"/>
      <c r="EB39" s="34"/>
      <c r="EC39" s="34"/>
      <c r="ED39" s="34"/>
      <c r="EE39" s="34"/>
      <c r="EF39" s="34"/>
      <c r="EG39" s="34"/>
      <c r="EH39" s="34"/>
      <c r="EI39" s="34"/>
      <c r="EJ39" s="34"/>
      <c r="EK39" s="34"/>
      <c r="EL39" s="34"/>
      <c r="EM39" s="34"/>
      <c r="EN39" s="34"/>
      <c r="EO39" s="34"/>
      <c r="EP39" s="34"/>
      <c r="EQ39" s="34"/>
      <c r="ER39" s="34"/>
      <c r="ES39" s="34"/>
      <c r="ET39" s="34"/>
      <c r="EU39" s="34"/>
      <c r="EV39" s="34"/>
      <c r="EW39" s="34"/>
      <c r="EX39" s="34"/>
      <c r="EY39" s="34"/>
      <c r="EZ39" s="34"/>
      <c r="FA39" s="34"/>
      <c r="FB39" s="34"/>
      <c r="FC39" s="34"/>
      <c r="FD39" s="34"/>
      <c r="FE39" s="34"/>
      <c r="FF39" s="34"/>
      <c r="FG39" s="34"/>
      <c r="FH39" s="34"/>
      <c r="FI39" s="34"/>
      <c r="FJ39" s="34"/>
    </row>
    <row r="40" spans="2:166" x14ac:dyDescent="0.25">
      <c r="B40" s="19">
        <v>37</v>
      </c>
      <c r="C40" s="27" t="s">
        <v>160</v>
      </c>
      <c r="D40" s="29">
        <f t="shared" si="45"/>
        <v>0.5714285714285714</v>
      </c>
      <c r="E40" s="31">
        <v>35</v>
      </c>
      <c r="F40" s="25">
        <v>45862</v>
      </c>
      <c r="G40" s="25">
        <v>45865</v>
      </c>
      <c r="H40" s="26">
        <v>4</v>
      </c>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9"/>
      <c r="CL40" s="35"/>
      <c r="CM40" s="35"/>
      <c r="CN40" s="37"/>
      <c r="CO40" s="34"/>
      <c r="CP40" s="34"/>
      <c r="CQ40" s="34"/>
      <c r="CR40" s="34"/>
      <c r="CS40" s="34"/>
      <c r="CT40" s="34"/>
      <c r="CU40" s="34"/>
      <c r="CV40" s="34"/>
      <c r="CW40" s="34"/>
      <c r="CX40" s="34"/>
      <c r="CY40" s="34"/>
      <c r="CZ40" s="34"/>
      <c r="DA40" s="34"/>
      <c r="DB40" s="34"/>
      <c r="DC40" s="34"/>
      <c r="DD40" s="34"/>
      <c r="DE40" s="34"/>
      <c r="DF40" s="34"/>
      <c r="DG40" s="34"/>
      <c r="DH40" s="34"/>
      <c r="DI40" s="34"/>
      <c r="DJ40" s="34"/>
      <c r="DK40" s="34"/>
      <c r="DL40" s="34"/>
      <c r="DM40" s="34"/>
      <c r="DN40" s="34"/>
      <c r="DO40" s="34"/>
      <c r="DP40" s="34"/>
      <c r="DQ40" s="34"/>
      <c r="DR40" s="34"/>
      <c r="DS40" s="34"/>
      <c r="DT40" s="34"/>
      <c r="DU40" s="34"/>
      <c r="DV40" s="34"/>
      <c r="DW40" s="34"/>
      <c r="DX40" s="34"/>
      <c r="DY40" s="34"/>
      <c r="DZ40" s="34"/>
      <c r="EA40" s="34"/>
      <c r="EB40" s="34"/>
      <c r="EC40" s="34"/>
      <c r="ED40" s="34"/>
      <c r="EE40" s="34"/>
      <c r="EF40" s="34"/>
      <c r="EG40" s="34"/>
      <c r="EH40" s="34"/>
      <c r="EI40" s="34"/>
      <c r="EJ40" s="34"/>
      <c r="EK40" s="34"/>
      <c r="EL40" s="34"/>
      <c r="EM40" s="34"/>
      <c r="EN40" s="34"/>
      <c r="EO40" s="34"/>
      <c r="EP40" s="34"/>
      <c r="EQ40" s="34"/>
      <c r="ER40" s="34"/>
      <c r="ES40" s="34"/>
      <c r="ET40" s="34"/>
      <c r="EU40" s="34"/>
      <c r="EV40" s="34"/>
      <c r="EW40" s="34"/>
      <c r="EX40" s="34"/>
      <c r="EY40" s="34"/>
      <c r="EZ40" s="34"/>
      <c r="FA40" s="34"/>
      <c r="FB40" s="34"/>
      <c r="FC40" s="34"/>
      <c r="FD40" s="34"/>
      <c r="FE40" s="34"/>
      <c r="FF40" s="34"/>
      <c r="FG40" s="34"/>
      <c r="FH40" s="34"/>
      <c r="FI40" s="34"/>
      <c r="FJ40" s="34"/>
    </row>
    <row r="41" spans="2:166" x14ac:dyDescent="0.25">
      <c r="B41" s="19">
        <v>38</v>
      </c>
      <c r="C41" s="27" t="s">
        <v>213</v>
      </c>
      <c r="D41" s="29">
        <f t="shared" si="45"/>
        <v>0.42857142857142855</v>
      </c>
      <c r="E41" s="31" t="s">
        <v>230</v>
      </c>
      <c r="F41" s="25">
        <v>45867</v>
      </c>
      <c r="G41" s="25">
        <v>45869</v>
      </c>
      <c r="H41" s="26">
        <v>3</v>
      </c>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5"/>
      <c r="CQ41" s="35"/>
      <c r="CR41" s="37"/>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c r="EY41" s="34"/>
      <c r="EZ41" s="34"/>
      <c r="FA41" s="34"/>
      <c r="FB41" s="34"/>
      <c r="FC41" s="34"/>
      <c r="FD41" s="34"/>
      <c r="FE41" s="34"/>
      <c r="FF41" s="34"/>
      <c r="FG41" s="34"/>
      <c r="FH41" s="34"/>
      <c r="FI41" s="34"/>
      <c r="FJ41" s="34"/>
    </row>
    <row r="42" spans="2:166" x14ac:dyDescent="0.25">
      <c r="B42" s="19">
        <v>39</v>
      </c>
      <c r="C42" s="27" t="s">
        <v>181</v>
      </c>
      <c r="D42" s="29">
        <f t="shared" si="45"/>
        <v>0.42857142857142855</v>
      </c>
      <c r="E42" s="31" t="s">
        <v>230</v>
      </c>
      <c r="F42" s="25">
        <v>45867</v>
      </c>
      <c r="G42" s="25">
        <v>45869</v>
      </c>
      <c r="H42" s="26">
        <v>3</v>
      </c>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9"/>
      <c r="CQ42" s="35"/>
      <c r="CR42" s="37"/>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row>
    <row r="43" spans="2:166" x14ac:dyDescent="0.25">
      <c r="B43" s="19">
        <v>40</v>
      </c>
      <c r="C43" s="27" t="s">
        <v>159</v>
      </c>
      <c r="D43" s="29">
        <f t="shared" si="45"/>
        <v>0.42857142857142855</v>
      </c>
      <c r="E43" s="31" t="s">
        <v>231</v>
      </c>
      <c r="F43" s="25">
        <v>45870</v>
      </c>
      <c r="G43" s="25">
        <v>45872</v>
      </c>
      <c r="H43" s="26">
        <v>3</v>
      </c>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8"/>
      <c r="CT43" s="35"/>
      <c r="CU43" s="37"/>
      <c r="CV43" s="34"/>
      <c r="CW43" s="34"/>
      <c r="CX43" s="34"/>
      <c r="CY43" s="34"/>
      <c r="CZ43" s="34"/>
      <c r="DA43" s="34"/>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4"/>
      <c r="EL43" s="34"/>
      <c r="EM43" s="34"/>
      <c r="EN43" s="34"/>
      <c r="EO43" s="34"/>
      <c r="EP43" s="34"/>
      <c r="EQ43" s="34"/>
      <c r="ER43" s="34"/>
      <c r="ES43" s="34"/>
      <c r="ET43" s="34"/>
      <c r="EU43" s="34"/>
      <c r="EV43" s="34"/>
      <c r="EW43" s="34"/>
      <c r="EX43" s="34"/>
      <c r="EY43" s="34"/>
      <c r="EZ43" s="34"/>
      <c r="FA43" s="34"/>
      <c r="FB43" s="34"/>
      <c r="FC43" s="34"/>
      <c r="FD43" s="34"/>
      <c r="FE43" s="34"/>
      <c r="FF43" s="34"/>
      <c r="FG43" s="34"/>
      <c r="FH43" s="34"/>
      <c r="FI43" s="34"/>
      <c r="FJ43" s="34"/>
    </row>
    <row r="44" spans="2:166" x14ac:dyDescent="0.25">
      <c r="B44" s="19">
        <v>41</v>
      </c>
      <c r="C44" s="22" t="s">
        <v>219</v>
      </c>
      <c r="D44" s="29">
        <f t="shared" si="45"/>
        <v>0</v>
      </c>
      <c r="E44" s="31"/>
      <c r="F44" s="25"/>
      <c r="G44" s="25"/>
      <c r="H44" s="26"/>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c r="DC44" s="34"/>
      <c r="DD44" s="34"/>
      <c r="DE44" s="34"/>
      <c r="DF44" s="34"/>
      <c r="DG44" s="34"/>
      <c r="DH44" s="34"/>
      <c r="DI44" s="34"/>
      <c r="DJ44" s="34"/>
      <c r="DK44" s="34"/>
      <c r="DL44" s="34"/>
      <c r="DM44" s="34"/>
      <c r="DN44" s="34"/>
      <c r="DO44" s="34"/>
      <c r="DP44" s="34"/>
      <c r="DQ44" s="34"/>
      <c r="DR44" s="34"/>
      <c r="DS44" s="34"/>
      <c r="DT44" s="34"/>
      <c r="DU44" s="34"/>
      <c r="DV44" s="34"/>
      <c r="DW44" s="34"/>
      <c r="DX44" s="34"/>
      <c r="DY44" s="34"/>
      <c r="DZ44" s="34"/>
      <c r="EA44" s="34"/>
      <c r="EB44" s="34"/>
      <c r="EC44" s="34"/>
      <c r="ED44" s="34"/>
      <c r="EE44" s="34"/>
      <c r="EF44" s="34"/>
      <c r="EG44" s="34"/>
      <c r="EH44" s="34"/>
      <c r="EI44" s="34"/>
      <c r="EJ44" s="34"/>
      <c r="EK44" s="34"/>
      <c r="EL44" s="34"/>
      <c r="EM44" s="34"/>
      <c r="EN44" s="34"/>
      <c r="EO44" s="34"/>
      <c r="EP44" s="34"/>
      <c r="EQ44" s="34"/>
      <c r="ER44" s="34"/>
      <c r="ES44" s="34"/>
      <c r="ET44" s="34"/>
      <c r="EU44" s="34"/>
      <c r="EV44" s="34"/>
      <c r="EW44" s="34"/>
      <c r="EX44" s="34"/>
      <c r="EY44" s="34"/>
      <c r="EZ44" s="34"/>
      <c r="FA44" s="34"/>
      <c r="FB44" s="34"/>
      <c r="FC44" s="34"/>
      <c r="FD44" s="34"/>
      <c r="FE44" s="34"/>
      <c r="FF44" s="34"/>
      <c r="FG44" s="34"/>
      <c r="FH44" s="34"/>
      <c r="FI44" s="34"/>
      <c r="FJ44" s="34"/>
    </row>
    <row r="45" spans="2:166" x14ac:dyDescent="0.25">
      <c r="B45" s="19">
        <v>42</v>
      </c>
      <c r="C45" s="27" t="s">
        <v>192</v>
      </c>
      <c r="D45" s="29">
        <f t="shared" si="45"/>
        <v>0.7142857142857143</v>
      </c>
      <c r="E45" s="31">
        <v>40</v>
      </c>
      <c r="F45" s="25">
        <v>45873</v>
      </c>
      <c r="G45" s="25">
        <v>45877</v>
      </c>
      <c r="H45" s="26">
        <v>5</v>
      </c>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8"/>
      <c r="CW45" s="35"/>
      <c r="CX45" s="35"/>
      <c r="CY45" s="35"/>
      <c r="CZ45" s="37"/>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34"/>
      <c r="EY45" s="34"/>
      <c r="EZ45" s="34"/>
      <c r="FA45" s="34"/>
      <c r="FB45" s="34"/>
      <c r="FC45" s="34"/>
      <c r="FD45" s="34"/>
      <c r="FE45" s="34"/>
      <c r="FF45" s="34"/>
      <c r="FG45" s="34"/>
      <c r="FH45" s="34"/>
      <c r="FI45" s="34"/>
      <c r="FJ45" s="34"/>
    </row>
    <row r="46" spans="2:166" x14ac:dyDescent="0.25">
      <c r="B46" s="19">
        <v>43</v>
      </c>
      <c r="C46" s="27" t="s">
        <v>193</v>
      </c>
      <c r="D46" s="29">
        <f t="shared" si="45"/>
        <v>0.5714285714285714</v>
      </c>
      <c r="E46" s="31">
        <v>42</v>
      </c>
      <c r="F46" s="25">
        <v>45878</v>
      </c>
      <c r="G46" s="25">
        <v>45881</v>
      </c>
      <c r="H46" s="26">
        <v>4</v>
      </c>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5"/>
      <c r="DB46" s="35"/>
      <c r="DC46" s="35"/>
      <c r="DD46" s="37"/>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34"/>
      <c r="EY46" s="34"/>
      <c r="EZ46" s="34"/>
      <c r="FA46" s="34"/>
      <c r="FB46" s="34"/>
      <c r="FC46" s="34"/>
      <c r="FD46" s="34"/>
      <c r="FE46" s="34"/>
      <c r="FF46" s="34"/>
      <c r="FG46" s="34"/>
      <c r="FH46" s="34"/>
      <c r="FI46" s="34"/>
      <c r="FJ46" s="34"/>
    </row>
    <row r="47" spans="2:166" x14ac:dyDescent="0.25">
      <c r="B47" s="19">
        <v>44</v>
      </c>
      <c r="C47" s="27" t="s">
        <v>194</v>
      </c>
      <c r="D47" s="29">
        <f t="shared" si="45"/>
        <v>0.5714285714285714</v>
      </c>
      <c r="E47" s="31">
        <v>42</v>
      </c>
      <c r="F47" s="25">
        <v>45878</v>
      </c>
      <c r="G47" s="25">
        <v>45881</v>
      </c>
      <c r="H47" s="26">
        <v>4</v>
      </c>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9"/>
      <c r="DB47" s="35"/>
      <c r="DC47" s="35"/>
      <c r="DD47" s="37"/>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34"/>
      <c r="EY47" s="34"/>
      <c r="EZ47" s="34"/>
      <c r="FA47" s="34"/>
      <c r="FB47" s="34"/>
      <c r="FC47" s="34"/>
      <c r="FD47" s="34"/>
      <c r="FE47" s="34"/>
      <c r="FF47" s="34"/>
      <c r="FG47" s="34"/>
      <c r="FH47" s="34"/>
      <c r="FI47" s="34"/>
      <c r="FJ47" s="34"/>
    </row>
    <row r="48" spans="2:166" x14ac:dyDescent="0.25">
      <c r="B48" s="19">
        <v>45</v>
      </c>
      <c r="C48" s="27" t="s">
        <v>195</v>
      </c>
      <c r="D48" s="29">
        <f t="shared" si="45"/>
        <v>0.42857142857142855</v>
      </c>
      <c r="E48" s="31" t="s">
        <v>232</v>
      </c>
      <c r="F48" s="25">
        <v>45882</v>
      </c>
      <c r="G48" s="25">
        <v>45884</v>
      </c>
      <c r="H48" s="26">
        <v>3</v>
      </c>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8"/>
      <c r="DF48" s="35"/>
      <c r="DG48" s="37"/>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34"/>
      <c r="EY48" s="34"/>
      <c r="EZ48" s="34"/>
      <c r="FA48" s="34"/>
      <c r="FB48" s="34"/>
      <c r="FC48" s="34"/>
      <c r="FD48" s="34"/>
      <c r="FE48" s="34"/>
      <c r="FF48" s="34"/>
      <c r="FG48" s="34"/>
      <c r="FH48" s="34"/>
      <c r="FI48" s="34"/>
      <c r="FJ48" s="34"/>
    </row>
    <row r="49" spans="2:166" x14ac:dyDescent="0.25">
      <c r="B49" s="19">
        <v>46</v>
      </c>
      <c r="C49" s="27" t="s">
        <v>196</v>
      </c>
      <c r="D49" s="29">
        <f t="shared" si="45"/>
        <v>0.7142857142857143</v>
      </c>
      <c r="E49" s="31">
        <v>45</v>
      </c>
      <c r="F49" s="25">
        <v>45885</v>
      </c>
      <c r="G49" s="25">
        <v>45889</v>
      </c>
      <c r="H49" s="26">
        <v>5</v>
      </c>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5"/>
      <c r="DI49" s="35"/>
      <c r="DJ49" s="35"/>
      <c r="DK49" s="35"/>
      <c r="DL49" s="37"/>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34"/>
      <c r="EY49" s="34"/>
      <c r="EZ49" s="34"/>
      <c r="FA49" s="34"/>
      <c r="FB49" s="34"/>
      <c r="FC49" s="34"/>
      <c r="FD49" s="34"/>
      <c r="FE49" s="34"/>
      <c r="FF49" s="34"/>
      <c r="FG49" s="34"/>
      <c r="FH49" s="34"/>
      <c r="FI49" s="34"/>
      <c r="FJ49" s="34"/>
    </row>
    <row r="50" spans="2:166" x14ac:dyDescent="0.25">
      <c r="B50" s="19">
        <v>47</v>
      </c>
      <c r="C50" s="27" t="s">
        <v>197</v>
      </c>
      <c r="D50" s="29">
        <f t="shared" si="45"/>
        <v>0.42857142857142855</v>
      </c>
      <c r="E50" s="31">
        <v>45</v>
      </c>
      <c r="F50" s="25">
        <v>45885</v>
      </c>
      <c r="G50" s="25">
        <v>45887</v>
      </c>
      <c r="H50" s="26">
        <v>3</v>
      </c>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9"/>
      <c r="DI50" s="35"/>
      <c r="DJ50" s="37"/>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34"/>
      <c r="EY50" s="34"/>
      <c r="EZ50" s="34"/>
      <c r="FA50" s="34"/>
      <c r="FB50" s="34"/>
      <c r="FC50" s="34"/>
      <c r="FD50" s="34"/>
      <c r="FE50" s="34"/>
      <c r="FF50" s="34"/>
      <c r="FG50" s="34"/>
      <c r="FH50" s="34"/>
      <c r="FI50" s="34"/>
      <c r="FJ50" s="34"/>
    </row>
    <row r="51" spans="2:166" x14ac:dyDescent="0.25">
      <c r="B51" s="19">
        <v>48</v>
      </c>
      <c r="C51" s="27" t="s">
        <v>200</v>
      </c>
      <c r="D51" s="29">
        <f t="shared" si="45"/>
        <v>0.7142857142857143</v>
      </c>
      <c r="E51" s="31" t="s">
        <v>233</v>
      </c>
      <c r="F51" s="25">
        <v>45890</v>
      </c>
      <c r="G51" s="25">
        <v>45894</v>
      </c>
      <c r="H51" s="26">
        <v>5</v>
      </c>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8"/>
      <c r="DN51" s="35"/>
      <c r="DO51" s="35"/>
      <c r="DP51" s="35"/>
      <c r="DQ51" s="37"/>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34"/>
      <c r="EY51" s="34"/>
      <c r="EZ51" s="34"/>
      <c r="FA51" s="34"/>
      <c r="FB51" s="34"/>
      <c r="FC51" s="34"/>
      <c r="FD51" s="34"/>
      <c r="FE51" s="34"/>
      <c r="FF51" s="34"/>
      <c r="FG51" s="34"/>
      <c r="FH51" s="34"/>
      <c r="FI51" s="34"/>
      <c r="FJ51" s="34"/>
    </row>
    <row r="52" spans="2:166" x14ac:dyDescent="0.25">
      <c r="B52" s="19">
        <v>49</v>
      </c>
      <c r="C52" s="27" t="s">
        <v>198</v>
      </c>
      <c r="D52" s="29">
        <f t="shared" si="45"/>
        <v>0.7142857142857143</v>
      </c>
      <c r="E52" s="31">
        <v>48</v>
      </c>
      <c r="F52" s="25">
        <v>45895</v>
      </c>
      <c r="G52" s="25">
        <v>45899</v>
      </c>
      <c r="H52" s="26">
        <v>5</v>
      </c>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8"/>
      <c r="DS52" s="35"/>
      <c r="DT52" s="35"/>
      <c r="DU52" s="35"/>
      <c r="DV52" s="37"/>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34"/>
      <c r="EY52" s="34"/>
      <c r="EZ52" s="34"/>
      <c r="FA52" s="34"/>
      <c r="FB52" s="34"/>
      <c r="FC52" s="34"/>
      <c r="FD52" s="34"/>
      <c r="FE52" s="34"/>
      <c r="FF52" s="34"/>
      <c r="FG52" s="34"/>
      <c r="FH52" s="34"/>
      <c r="FI52" s="34"/>
      <c r="FJ52" s="34"/>
    </row>
    <row r="53" spans="2:166" x14ac:dyDescent="0.25">
      <c r="B53" s="19">
        <v>50</v>
      </c>
      <c r="C53" s="27" t="s">
        <v>199</v>
      </c>
      <c r="D53" s="29">
        <f t="shared" si="45"/>
        <v>0.5714285714285714</v>
      </c>
      <c r="E53" s="31">
        <v>49</v>
      </c>
      <c r="F53" s="25">
        <v>45900</v>
      </c>
      <c r="G53" s="25">
        <v>45903</v>
      </c>
      <c r="H53" s="26">
        <v>4</v>
      </c>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8"/>
      <c r="DX53" s="35"/>
      <c r="DY53" s="35"/>
      <c r="DZ53" s="37"/>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34"/>
      <c r="EY53" s="34"/>
      <c r="EZ53" s="34"/>
      <c r="FA53" s="34"/>
      <c r="FB53" s="34"/>
      <c r="FC53" s="34"/>
      <c r="FD53" s="34"/>
      <c r="FE53" s="34"/>
      <c r="FF53" s="34"/>
      <c r="FG53" s="34"/>
      <c r="FH53" s="34"/>
      <c r="FI53" s="34"/>
      <c r="FJ53" s="34"/>
    </row>
    <row r="54" spans="2:166" x14ac:dyDescent="0.25">
      <c r="B54" s="19">
        <v>51</v>
      </c>
      <c r="C54" s="27" t="s">
        <v>201</v>
      </c>
      <c r="D54" s="29">
        <f t="shared" si="45"/>
        <v>0.5714285714285714</v>
      </c>
      <c r="E54" s="31">
        <v>50</v>
      </c>
      <c r="F54" s="25">
        <v>45904</v>
      </c>
      <c r="G54" s="25">
        <v>45907</v>
      </c>
      <c r="H54" s="26">
        <v>4</v>
      </c>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8"/>
      <c r="EB54" s="35"/>
      <c r="EC54" s="35"/>
      <c r="ED54" s="37"/>
      <c r="EE54" s="34"/>
      <c r="EF54" s="34"/>
      <c r="EG54" s="34"/>
      <c r="EH54" s="34"/>
      <c r="EI54" s="34"/>
      <c r="EJ54" s="34"/>
      <c r="EK54" s="34"/>
      <c r="EL54" s="34"/>
      <c r="EM54" s="34"/>
      <c r="EN54" s="34"/>
      <c r="EO54" s="34"/>
      <c r="EP54" s="34"/>
      <c r="EQ54" s="34"/>
      <c r="ER54" s="34"/>
      <c r="ES54" s="34"/>
      <c r="ET54" s="34"/>
      <c r="EU54" s="34"/>
      <c r="EV54" s="34"/>
      <c r="EW54" s="34"/>
      <c r="EX54" s="34"/>
      <c r="EY54" s="34"/>
      <c r="EZ54" s="34"/>
      <c r="FA54" s="34"/>
      <c r="FB54" s="34"/>
      <c r="FC54" s="34"/>
      <c r="FD54" s="34"/>
      <c r="FE54" s="34"/>
      <c r="FF54" s="34"/>
      <c r="FG54" s="34"/>
      <c r="FH54" s="34"/>
      <c r="FI54" s="34"/>
      <c r="FJ54" s="34"/>
    </row>
    <row r="55" spans="2:166" x14ac:dyDescent="0.25">
      <c r="B55" s="19">
        <v>52</v>
      </c>
      <c r="C55" s="27" t="s">
        <v>202</v>
      </c>
      <c r="D55" s="29">
        <f t="shared" si="45"/>
        <v>0.5714285714285714</v>
      </c>
      <c r="E55" s="31">
        <v>51</v>
      </c>
      <c r="F55" s="25">
        <v>45908</v>
      </c>
      <c r="G55" s="25">
        <v>45911</v>
      </c>
      <c r="H55" s="26">
        <v>4</v>
      </c>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8"/>
      <c r="EF55" s="35"/>
      <c r="EG55" s="35"/>
      <c r="EH55" s="37"/>
      <c r="EI55" s="34"/>
      <c r="EJ55" s="34"/>
      <c r="EK55" s="34"/>
      <c r="EL55" s="34"/>
      <c r="EM55" s="34"/>
      <c r="EN55" s="34"/>
      <c r="EO55" s="34"/>
      <c r="EP55" s="34"/>
      <c r="EQ55" s="34"/>
      <c r="ER55" s="34"/>
      <c r="ES55" s="34"/>
      <c r="ET55" s="34"/>
      <c r="EU55" s="34"/>
      <c r="EV55" s="34"/>
      <c r="EW55" s="34"/>
      <c r="EX55" s="34"/>
      <c r="EY55" s="34"/>
      <c r="EZ55" s="34"/>
      <c r="FA55" s="34"/>
      <c r="FB55" s="34"/>
      <c r="FC55" s="34"/>
      <c r="FD55" s="34"/>
      <c r="FE55" s="34"/>
      <c r="FF55" s="34"/>
      <c r="FG55" s="34"/>
      <c r="FH55" s="34"/>
      <c r="FI55" s="34"/>
      <c r="FJ55" s="34"/>
    </row>
    <row r="56" spans="2:166" x14ac:dyDescent="0.25">
      <c r="B56" s="19">
        <v>53</v>
      </c>
      <c r="C56" s="27" t="s">
        <v>203</v>
      </c>
      <c r="D56" s="29">
        <f t="shared" si="45"/>
        <v>0.7142857142857143</v>
      </c>
      <c r="E56" s="31">
        <v>52</v>
      </c>
      <c r="F56" s="25">
        <v>45912</v>
      </c>
      <c r="G56" s="25">
        <v>45916</v>
      </c>
      <c r="H56" s="26">
        <v>5</v>
      </c>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8"/>
      <c r="EJ56" s="35"/>
      <c r="EK56" s="35"/>
      <c r="EL56" s="35"/>
      <c r="EM56" s="37"/>
      <c r="EN56" s="34"/>
      <c r="EO56" s="34"/>
      <c r="EP56" s="34"/>
      <c r="EQ56" s="34"/>
      <c r="ER56" s="34"/>
      <c r="ES56" s="34"/>
      <c r="ET56" s="34"/>
      <c r="EU56" s="34"/>
      <c r="EV56" s="34"/>
      <c r="EW56" s="34"/>
      <c r="EX56" s="34"/>
      <c r="EY56" s="34"/>
      <c r="EZ56" s="34"/>
      <c r="FA56" s="34"/>
      <c r="FB56" s="34"/>
      <c r="FC56" s="34"/>
      <c r="FD56" s="34"/>
      <c r="FE56" s="34"/>
      <c r="FF56" s="34"/>
      <c r="FG56" s="34"/>
      <c r="FH56" s="34"/>
      <c r="FI56" s="34"/>
      <c r="FJ56" s="34"/>
    </row>
    <row r="57" spans="2:166" x14ac:dyDescent="0.25">
      <c r="B57" s="19">
        <v>54</v>
      </c>
      <c r="C57" s="22" t="s">
        <v>220</v>
      </c>
      <c r="D57" s="29">
        <f t="shared" si="45"/>
        <v>0</v>
      </c>
      <c r="E57" s="31"/>
      <c r="F57" s="25"/>
      <c r="G57" s="25"/>
      <c r="H57" s="26"/>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34"/>
      <c r="EY57" s="34"/>
      <c r="EZ57" s="34"/>
      <c r="FA57" s="34"/>
      <c r="FB57" s="34"/>
      <c r="FC57" s="34"/>
      <c r="FD57" s="34"/>
      <c r="FE57" s="34"/>
      <c r="FF57" s="34"/>
      <c r="FG57" s="34"/>
      <c r="FH57" s="34"/>
      <c r="FI57" s="34"/>
      <c r="FJ57" s="34"/>
    </row>
    <row r="58" spans="2:166" x14ac:dyDescent="0.25">
      <c r="B58" s="19">
        <v>55</v>
      </c>
      <c r="C58" s="27" t="s">
        <v>182</v>
      </c>
      <c r="D58" s="29">
        <f t="shared" si="45"/>
        <v>0.42857142857142855</v>
      </c>
      <c r="E58" s="31">
        <v>53</v>
      </c>
      <c r="F58" s="25">
        <v>45917</v>
      </c>
      <c r="G58" s="25">
        <v>45919</v>
      </c>
      <c r="H58" s="26">
        <v>3</v>
      </c>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5"/>
      <c r="EO58" s="35"/>
      <c r="EP58" s="37"/>
      <c r="EQ58" s="34"/>
      <c r="ER58" s="34"/>
      <c r="ES58" s="34"/>
      <c r="ET58" s="34"/>
      <c r="EU58" s="34"/>
      <c r="EV58" s="34"/>
      <c r="EW58" s="34"/>
      <c r="EX58" s="34"/>
      <c r="EY58" s="34"/>
      <c r="EZ58" s="34"/>
      <c r="FA58" s="34"/>
      <c r="FB58" s="34"/>
      <c r="FC58" s="34"/>
      <c r="FD58" s="34"/>
      <c r="FE58" s="34"/>
      <c r="FF58" s="34"/>
      <c r="FG58" s="34"/>
      <c r="FH58" s="34"/>
      <c r="FI58" s="34"/>
      <c r="FJ58" s="34"/>
    </row>
    <row r="59" spans="2:166" x14ac:dyDescent="0.25">
      <c r="B59" s="19">
        <v>56</v>
      </c>
      <c r="C59" s="27" t="s">
        <v>183</v>
      </c>
      <c r="D59" s="29">
        <f t="shared" si="45"/>
        <v>0.42857142857142855</v>
      </c>
      <c r="E59" s="31">
        <v>53</v>
      </c>
      <c r="F59" s="25">
        <v>45917</v>
      </c>
      <c r="G59" s="25">
        <v>45919</v>
      </c>
      <c r="H59" s="26">
        <v>3</v>
      </c>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9"/>
      <c r="EO59" s="35"/>
      <c r="EP59" s="37"/>
      <c r="EQ59" s="34"/>
      <c r="ER59" s="34"/>
      <c r="ES59" s="34"/>
      <c r="ET59" s="34"/>
      <c r="EU59" s="34"/>
      <c r="EV59" s="34"/>
      <c r="EW59" s="34"/>
      <c r="EX59" s="34"/>
      <c r="EY59" s="34"/>
      <c r="EZ59" s="34"/>
      <c r="FA59" s="34"/>
      <c r="FB59" s="34"/>
      <c r="FC59" s="34"/>
      <c r="FD59" s="34"/>
      <c r="FE59" s="34"/>
      <c r="FF59" s="34"/>
      <c r="FG59" s="34"/>
      <c r="FH59" s="34"/>
      <c r="FI59" s="34"/>
      <c r="FJ59" s="34"/>
    </row>
    <row r="60" spans="2:166" x14ac:dyDescent="0.25">
      <c r="B60" s="19">
        <v>57</v>
      </c>
      <c r="C60" s="27" t="s">
        <v>184</v>
      </c>
      <c r="D60" s="29">
        <f t="shared" si="45"/>
        <v>0.14285714285714285</v>
      </c>
      <c r="E60" s="31" t="s">
        <v>234</v>
      </c>
      <c r="F60" s="25">
        <v>45920</v>
      </c>
      <c r="G60" s="25">
        <v>45920</v>
      </c>
      <c r="H60" s="26">
        <v>1</v>
      </c>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40"/>
      <c r="ER60" s="34"/>
      <c r="ES60" s="34"/>
      <c r="ET60" s="34"/>
      <c r="EU60" s="34"/>
      <c r="EV60" s="34"/>
      <c r="EW60" s="34"/>
      <c r="EX60" s="34"/>
      <c r="EY60" s="34"/>
      <c r="EZ60" s="34"/>
      <c r="FA60" s="34"/>
      <c r="FB60" s="34"/>
      <c r="FC60" s="34"/>
      <c r="FD60" s="34"/>
      <c r="FE60" s="34"/>
      <c r="FF60" s="34"/>
      <c r="FG60" s="34"/>
      <c r="FH60" s="34"/>
      <c r="FI60" s="34"/>
      <c r="FJ60" s="34"/>
    </row>
    <row r="61" spans="2:166" ht="30" x14ac:dyDescent="0.25">
      <c r="B61" s="19">
        <v>58</v>
      </c>
      <c r="C61" s="27" t="s">
        <v>185</v>
      </c>
      <c r="D61" s="29">
        <f t="shared" si="45"/>
        <v>0.2857142857142857</v>
      </c>
      <c r="E61" s="31">
        <v>57</v>
      </c>
      <c r="F61" s="25">
        <v>45921</v>
      </c>
      <c r="G61" s="25">
        <v>45922</v>
      </c>
      <c r="H61" s="26">
        <v>2</v>
      </c>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8"/>
      <c r="ES61" s="37"/>
      <c r="ET61" s="34"/>
      <c r="EU61" s="34"/>
      <c r="EV61" s="34"/>
      <c r="EW61" s="34"/>
      <c r="EX61" s="34"/>
      <c r="EY61" s="34"/>
      <c r="EZ61" s="34"/>
      <c r="FA61" s="34"/>
      <c r="FB61" s="34"/>
      <c r="FC61" s="34"/>
      <c r="FD61" s="34"/>
      <c r="FE61" s="34"/>
      <c r="FF61" s="34"/>
      <c r="FG61" s="34"/>
      <c r="FH61" s="34"/>
      <c r="FI61" s="34"/>
      <c r="FJ61" s="34"/>
    </row>
    <row r="62" spans="2:166" ht="30" x14ac:dyDescent="0.25">
      <c r="B62" s="19">
        <v>59</v>
      </c>
      <c r="C62" s="27" t="s">
        <v>186</v>
      </c>
      <c r="D62" s="29">
        <f t="shared" si="45"/>
        <v>0.2857142857142857</v>
      </c>
      <c r="E62" s="31">
        <v>58</v>
      </c>
      <c r="F62" s="25">
        <v>45923</v>
      </c>
      <c r="G62" s="25">
        <v>45924</v>
      </c>
      <c r="H62" s="26">
        <v>2</v>
      </c>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8"/>
      <c r="EU62" s="37"/>
      <c r="EV62" s="34"/>
      <c r="EW62" s="34"/>
      <c r="EX62" s="34"/>
      <c r="EY62" s="34"/>
      <c r="EZ62" s="34"/>
      <c r="FA62" s="34"/>
      <c r="FB62" s="34"/>
      <c r="FC62" s="34"/>
      <c r="FD62" s="34"/>
      <c r="FE62" s="34"/>
      <c r="FF62" s="34"/>
      <c r="FG62" s="34"/>
      <c r="FH62" s="34"/>
      <c r="FI62" s="34"/>
      <c r="FJ62" s="34"/>
    </row>
    <row r="63" spans="2:166" x14ac:dyDescent="0.25">
      <c r="B63" s="19">
        <v>60</v>
      </c>
      <c r="C63" s="27" t="s">
        <v>187</v>
      </c>
      <c r="D63" s="29">
        <f t="shared" si="45"/>
        <v>0.14285714285714285</v>
      </c>
      <c r="E63" s="31">
        <v>59</v>
      </c>
      <c r="F63" s="25">
        <v>45925</v>
      </c>
      <c r="G63" s="25">
        <v>45925</v>
      </c>
      <c r="H63" s="26">
        <v>1</v>
      </c>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40"/>
      <c r="EW63" s="34"/>
      <c r="EX63" s="34"/>
      <c r="EY63" s="34"/>
      <c r="EZ63" s="34"/>
      <c r="FA63" s="34"/>
      <c r="FB63" s="34"/>
      <c r="FC63" s="34"/>
      <c r="FD63" s="34"/>
      <c r="FE63" s="34"/>
      <c r="FF63" s="34"/>
      <c r="FG63" s="34"/>
      <c r="FH63" s="34"/>
      <c r="FI63" s="34"/>
      <c r="FJ63" s="34"/>
    </row>
    <row r="64" spans="2:166" x14ac:dyDescent="0.25">
      <c r="B64" s="19">
        <v>61</v>
      </c>
      <c r="C64" s="27" t="s">
        <v>188</v>
      </c>
      <c r="D64" s="29">
        <f t="shared" si="45"/>
        <v>0.14285714285714285</v>
      </c>
      <c r="E64" s="31">
        <v>60</v>
      </c>
      <c r="F64" s="25">
        <v>45926</v>
      </c>
      <c r="G64" s="25">
        <v>45926</v>
      </c>
      <c r="H64" s="26">
        <v>1</v>
      </c>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40"/>
      <c r="EX64" s="34"/>
      <c r="EY64" s="34"/>
      <c r="EZ64" s="34"/>
      <c r="FA64" s="34"/>
      <c r="FB64" s="34"/>
      <c r="FC64" s="34"/>
      <c r="FD64" s="34"/>
      <c r="FE64" s="34"/>
      <c r="FF64" s="34"/>
      <c r="FG64" s="34"/>
      <c r="FH64" s="34"/>
      <c r="FI64" s="34"/>
      <c r="FJ64" s="34"/>
    </row>
    <row r="65" spans="2:166" x14ac:dyDescent="0.25">
      <c r="B65" s="19">
        <v>62</v>
      </c>
      <c r="C65" s="22" t="s">
        <v>221</v>
      </c>
      <c r="D65" s="29">
        <f t="shared" si="45"/>
        <v>0</v>
      </c>
      <c r="E65" s="31"/>
      <c r="F65" s="25"/>
      <c r="G65" s="25"/>
      <c r="H65" s="26"/>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34"/>
      <c r="EY65" s="34"/>
      <c r="EZ65" s="34"/>
      <c r="FA65" s="34"/>
      <c r="FB65" s="34"/>
      <c r="FC65" s="34"/>
      <c r="FD65" s="34"/>
      <c r="FE65" s="34"/>
      <c r="FF65" s="34"/>
      <c r="FG65" s="34"/>
      <c r="FH65" s="34"/>
      <c r="FI65" s="34"/>
      <c r="FJ65" s="34"/>
    </row>
    <row r="66" spans="2:166" x14ac:dyDescent="0.25">
      <c r="B66" s="19">
        <v>63</v>
      </c>
      <c r="C66" s="27" t="s">
        <v>189</v>
      </c>
      <c r="D66" s="29">
        <f t="shared" si="45"/>
        <v>0.5714285714285714</v>
      </c>
      <c r="E66" s="31">
        <v>61</v>
      </c>
      <c r="F66" s="25">
        <v>45927</v>
      </c>
      <c r="G66" s="25">
        <v>45930</v>
      </c>
      <c r="H66" s="26">
        <v>4</v>
      </c>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38"/>
      <c r="EY66" s="35"/>
      <c r="EZ66" s="35"/>
      <c r="FA66" s="37"/>
      <c r="FB66" s="34"/>
      <c r="FC66" s="34"/>
      <c r="FD66" s="34"/>
      <c r="FE66" s="34"/>
      <c r="FF66" s="34"/>
      <c r="FG66" s="34"/>
      <c r="FH66" s="34"/>
      <c r="FI66" s="34"/>
      <c r="FJ66" s="34"/>
    </row>
    <row r="67" spans="2:166" x14ac:dyDescent="0.25">
      <c r="B67" s="19">
        <v>64</v>
      </c>
      <c r="C67" s="27" t="s">
        <v>190</v>
      </c>
      <c r="D67" s="29">
        <f t="shared" si="45"/>
        <v>0.2857142857142857</v>
      </c>
      <c r="E67" s="31">
        <v>63</v>
      </c>
      <c r="F67" s="25">
        <v>45931</v>
      </c>
      <c r="G67" s="25">
        <v>45932</v>
      </c>
      <c r="H67" s="26">
        <v>2</v>
      </c>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34"/>
      <c r="EY67" s="34"/>
      <c r="EZ67" s="34"/>
      <c r="FA67" s="34"/>
      <c r="FB67" s="38"/>
      <c r="FC67" s="37"/>
      <c r="FD67" s="34"/>
      <c r="FE67" s="34"/>
      <c r="FF67" s="34"/>
      <c r="FG67" s="34"/>
      <c r="FH67" s="34"/>
      <c r="FI67" s="34"/>
      <c r="FJ67" s="34"/>
    </row>
    <row r="68" spans="2:166" x14ac:dyDescent="0.25">
      <c r="B68" s="19">
        <v>65</v>
      </c>
      <c r="C68" s="27" t="s">
        <v>191</v>
      </c>
      <c r="D68" s="29">
        <f t="shared" si="45"/>
        <v>0.7142857142857143</v>
      </c>
      <c r="E68" s="31">
        <v>64</v>
      </c>
      <c r="F68" s="25">
        <v>45933</v>
      </c>
      <c r="G68" s="25">
        <v>45937</v>
      </c>
      <c r="H68" s="26">
        <v>5</v>
      </c>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34"/>
      <c r="EY68" s="34"/>
      <c r="EZ68" s="34"/>
      <c r="FA68" s="34"/>
      <c r="FB68" s="34"/>
      <c r="FC68" s="34"/>
      <c r="FD68" s="38"/>
      <c r="FE68" s="35"/>
      <c r="FF68" s="35"/>
      <c r="FG68" s="35"/>
      <c r="FH68" s="34"/>
      <c r="FI68" s="34"/>
      <c r="FJ68" s="34"/>
    </row>
    <row r="69" spans="2:166" x14ac:dyDescent="0.25">
      <c r="B69" s="19">
        <v>66</v>
      </c>
      <c r="C69" s="22" t="s">
        <v>156</v>
      </c>
      <c r="D69" s="29">
        <f t="shared" si="45"/>
        <v>0</v>
      </c>
      <c r="E69" s="31"/>
      <c r="F69" s="25"/>
      <c r="G69" s="25"/>
      <c r="H69" s="26"/>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34"/>
      <c r="EY69" s="34"/>
      <c r="EZ69" s="34"/>
      <c r="FA69" s="34"/>
      <c r="FB69" s="34"/>
      <c r="FC69" s="34"/>
      <c r="FD69" s="34"/>
      <c r="FE69" s="34"/>
      <c r="FF69" s="34"/>
      <c r="FG69" s="34"/>
      <c r="FH69" s="34"/>
      <c r="FI69" s="34"/>
      <c r="FJ69" s="34"/>
    </row>
  </sheetData>
  <pageMargins left="0.7" right="0.7" top="0.75" bottom="0.75" header="0.3" footer="0.3"/>
  <pageSetup paperSize="8" scale="58"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HighlightDatesAndDependencies_Compatible">
                <anchor moveWithCells="1">
                  <from>
                    <xdr:col>7</xdr:col>
                    <xdr:colOff>390525</xdr:colOff>
                    <xdr:row>0</xdr:row>
                    <xdr:rowOff>161925</xdr:rowOff>
                  </from>
                  <to>
                    <xdr:col>8</xdr:col>
                    <xdr:colOff>38100</xdr:colOff>
                    <xdr:row>1</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Hoja1</vt:lpstr>
      <vt:lpstr>Hoja2</vt:lpstr>
      <vt:lpstr>Hoja3</vt:lpstr>
      <vt:lpstr>Hoja4</vt:lpstr>
      <vt:lpstr>Hoja4!Área_de_impresión</vt:lpstr>
    </vt:vector>
  </TitlesOfParts>
  <Company>Dixguel03</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Malpartida Campos, Bryan Felix</cp:lastModifiedBy>
  <cp:lastPrinted>2025-05-29T21:32:59Z</cp:lastPrinted>
  <dcterms:created xsi:type="dcterms:W3CDTF">2025-03-23T21:12:07Z</dcterms:created>
  <dcterms:modified xsi:type="dcterms:W3CDTF">2025-05-29T23:01:54Z</dcterms:modified>
</cp:coreProperties>
</file>